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  <sheet sheetId="2" name="Vesting" state="visible" r:id="rId5"/>
    <sheet sheetId="3" name="Circulating" state="visible" r:id="rId6"/>
    <sheet sheetId="4" name="Demand" state="visible" r:id="rId7"/>
  </sheets>
  <calcPr calcId="171027"/>
</workbook>
</file>

<file path=xl/sharedStrings.xml><?xml version="1.0" encoding="utf-8"?>
<sst xmlns="http://schemas.openxmlformats.org/spreadsheetml/2006/main" count="47" uniqueCount="38">
  <si>
    <t>Total Supply</t>
  </si>
  <si>
    <t>Defaults: Chapter 4 "Balanced" scenario (Scenario C) with the worked-example 100M total supply. Change % / cliff / vest and everything downstream recalculates.</t>
  </si>
  <si>
    <t>Category</t>
  </si>
  <si>
    <t>Percent</t>
  </si>
  <si>
    <t>Tokens</t>
  </si>
  <si>
    <t>Cliff (months)</t>
  </si>
  <si>
    <t>Vest (months)</t>
  </si>
  <si>
    <t>Team &amp; Founders</t>
  </si>
  <si>
    <t>Investors</t>
  </si>
  <si>
    <t>Community</t>
  </si>
  <si>
    <t>Liquidity Pool</t>
  </si>
  <si>
    <t>Marketing</t>
  </si>
  <si>
    <t>Treasury</t>
  </si>
  <si>
    <t>TOTAL</t>
  </si>
  <si>
    <t>Cumulative unlocked tokens by month (per category). Nothing unlocks before the cliff; at and after the cliff, unlocking is linear over the vest length (vest 0 = fully unlocked at launch).</t>
  </si>
  <si>
    <t>Month</t>
  </si>
  <si>
    <t>Total Unlocked</t>
  </si>
  <si>
    <t>Circulating supply = cumulative unlocked tokens from the Vesting tab. Monthly Unlocks = new tokens hitting the float that month.</t>
  </si>
  <si>
    <t>Circulating Supply</t>
  </si>
  <si>
    <t>% of Total Supply</t>
  </si>
  <si>
    <t>Monthly Unlocks</t>
  </si>
  <si>
    <t>Inputs</t>
  </si>
  <si>
    <t>Starting users (month 1)</t>
  </si>
  <si>
    <t>Defaults from the chapter worked example: $200,000/yr fees at $0.10 = 2M tokens burned/yr (≈167k/mo); 5% year-1 inflation = 5M tokens/yr (≈417k/mo); tokens-held-per-user = Ch. 7 Builder tier (500).</t>
  </si>
  <si>
    <t>Monthly user growth</t>
  </si>
  <si>
    <t>Tokens held per user (Ch. 7 tier)</t>
  </si>
  <si>
    <t>Monthly protocol fees (USD)</t>
  </si>
  <si>
    <t>Token price (USD)</t>
  </si>
  <si>
    <t>Annual emissions (staking inflation)</t>
  </si>
  <si>
    <t>Users</t>
  </si>
  <si>
    <t>Tokens Held / User</t>
  </si>
  <si>
    <t>Tokens Locked</t>
  </si>
  <si>
    <t>Newly Locked</t>
  </si>
  <si>
    <t>Monthly Burns</t>
  </si>
  <si>
    <t>Monthly Emissions</t>
  </si>
  <si>
    <t>Net Demand</t>
  </si>
  <si>
    <t>Inflection?</t>
  </si>
  <si>
    <t>Inflection = first month where monthly burns + newly locked tokens ≥ monthly unlocks + emissions (Chapter 4, "The Other Side of the Napkin: Demand"). A napkin, not a 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</si>
</sst>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2" borderId="0" xfId="0" applyFont="1" applyFill="1"/>
    <xf numFmtId="9" fontId="0" fillId="0" borderId="0" xfId="0" applyNumberFormat="1"/>
    <xf numFmtId="9" fontId="1" fillId="0" borderId="0" xfId="0" applyNumberFormat="1" applyFont="1"/>
    <xf numFmtId="3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2" width="10" customWidth="1"/>
    <col min="3" max="5" width="14" customWidth="1"/>
    <col min="6" max="6" width="60" customWidth="1"/>
  </cols>
  <sheetData>
    <row r="1" spans="1:4" x14ac:dyDescent="0.25">
      <c r="A1" s="1" t="s">
        <v>0</v>
      </c>
      <c r="B1" s="2">
        <v>100000000</v>
      </c>
      <c r="D1" t="s">
        <v>1</v>
      </c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t="s">
        <v>7</v>
      </c>
      <c r="B4" s="4">
        <v>0.2</v>
      </c>
      <c r="C4" s="2">
        <f>B4*$B$1</f>
      </c>
      <c r="D4">
        <v>12</v>
      </c>
      <c r="E4">
        <v>48</v>
      </c>
    </row>
    <row r="5" spans="1:5" x14ac:dyDescent="0.25">
      <c r="A5" t="s">
        <v>8</v>
      </c>
      <c r="B5" s="4">
        <v>0.12</v>
      </c>
      <c r="C5" s="2">
        <f>B5*$B$1</f>
      </c>
      <c r="D5">
        <v>0</v>
      </c>
      <c r="E5">
        <v>30</v>
      </c>
    </row>
    <row r="6" spans="1:5" x14ac:dyDescent="0.25">
      <c r="A6" t="s">
        <v>9</v>
      </c>
      <c r="B6" s="4">
        <v>0.35</v>
      </c>
      <c r="C6" s="2">
        <f>B6*$B$1</f>
      </c>
      <c r="D6">
        <v>0</v>
      </c>
      <c r="E6">
        <v>48</v>
      </c>
    </row>
    <row r="7" spans="1:5" x14ac:dyDescent="0.25">
      <c r="A7" t="s">
        <v>10</v>
      </c>
      <c r="B7" s="4">
        <v>0.08</v>
      </c>
      <c r="C7" s="2">
        <f>B7*$B$1</f>
      </c>
      <c r="D7">
        <v>0</v>
      </c>
      <c r="E7">
        <v>0</v>
      </c>
    </row>
    <row r="8" spans="1:5" x14ac:dyDescent="0.25">
      <c r="A8" t="s">
        <v>11</v>
      </c>
      <c r="B8" s="4">
        <v>0.05</v>
      </c>
      <c r="C8" s="2">
        <f>B8*$B$1</f>
      </c>
      <c r="D8">
        <v>0</v>
      </c>
      <c r="E8">
        <v>12</v>
      </c>
    </row>
    <row r="9" spans="1:5" x14ac:dyDescent="0.25">
      <c r="A9" t="s">
        <v>12</v>
      </c>
      <c r="B9" s="4">
        <v>0.2</v>
      </c>
      <c r="C9" s="2">
        <f>B9*$B$1</f>
      </c>
      <c r="D9">
        <v>0</v>
      </c>
      <c r="E9">
        <v>36</v>
      </c>
    </row>
    <row r="10" spans="1:3" x14ac:dyDescent="0.25">
      <c r="A10" s="1" t="s">
        <v>13</v>
      </c>
      <c r="B10" s="5">
        <f>SUM(B4:B9)</f>
      </c>
      <c r="C10" s="6">
        <f>SUM(C4:C9)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8" customWidth="1"/>
    <col min="2" max="8" width="16" customWidth="1"/>
  </cols>
  <sheetData>
    <row r="1" spans="1:1" x14ac:dyDescent="0.25">
      <c r="A1" t="s">
        <v>14</v>
      </c>
    </row>
    <row r="2" spans="1:8" x14ac:dyDescent="0.25">
      <c r="A2" s="3" t="s">
        <v>15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16</v>
      </c>
    </row>
    <row r="3" spans="1:8" x14ac:dyDescent="0.25">
      <c r="A3">
        <v>0</v>
      </c>
      <c r="B3" s="2">
        <f>IF(Allocation!$E$4=0,Allocation!$C$4,IF($A3&lt;Allocation!$D$4,0,Allocation!$C$4*MIN($A3/Allocation!$E$4,1)))</f>
      </c>
      <c r="C3" s="2">
        <f>IF(Allocation!$E$5=0,Allocation!$C$5,IF($A3&lt;Allocation!$D$5,0,Allocation!$C$5*MIN($A3/Allocation!$E$5,1)))</f>
      </c>
      <c r="D3" s="2">
        <f>IF(Allocation!$E$6=0,Allocation!$C$6,IF($A3&lt;Allocation!$D$6,0,Allocation!$C$6*MIN($A3/Allocation!$E$6,1)))</f>
      </c>
      <c r="E3" s="2">
        <f>IF(Allocation!$E$7=0,Allocation!$C$7,IF($A3&lt;Allocation!$D$7,0,Allocation!$C$7*MIN($A3/Allocation!$E$7,1)))</f>
      </c>
      <c r="F3" s="2">
        <f>IF(Allocation!$E$8=0,Allocation!$C$8,IF($A3&lt;Allocation!$D$8,0,Allocation!$C$8*MIN($A3/Allocation!$E$8,1)))</f>
      </c>
      <c r="G3" s="2">
        <f>IF(Allocation!$E$9=0,Allocation!$C$9,IF($A3&lt;Allocation!$D$9,0,Allocation!$C$9*MIN($A3/Allocation!$E$9,1)))</f>
      </c>
      <c r="H3" s="2">
        <f>SUM(B3:G3)</f>
      </c>
    </row>
    <row r="4" spans="1:8" x14ac:dyDescent="0.25">
      <c r="A4">
        <v>1</v>
      </c>
      <c r="B4" s="2">
        <f>IF(Allocation!$E$4=0,Allocation!$C$4,IF($A4&lt;Allocation!$D$4,0,Allocation!$C$4*MIN($A4/Allocation!$E$4,1)))</f>
      </c>
      <c r="C4" s="2">
        <f>IF(Allocation!$E$5=0,Allocation!$C$5,IF($A4&lt;Allocation!$D$5,0,Allocation!$C$5*MIN($A4/Allocation!$E$5,1)))</f>
      </c>
      <c r="D4" s="2">
        <f>IF(Allocation!$E$6=0,Allocation!$C$6,IF($A4&lt;Allocation!$D$6,0,Allocation!$C$6*MIN($A4/Allocation!$E$6,1)))</f>
      </c>
      <c r="E4" s="2">
        <f>IF(Allocation!$E$7=0,Allocation!$C$7,IF($A4&lt;Allocation!$D$7,0,Allocation!$C$7*MIN($A4/Allocation!$E$7,1)))</f>
      </c>
      <c r="F4" s="2">
        <f>IF(Allocation!$E$8=0,Allocation!$C$8,IF($A4&lt;Allocation!$D$8,0,Allocation!$C$8*MIN($A4/Allocation!$E$8,1)))</f>
      </c>
      <c r="G4" s="2">
        <f>IF(Allocation!$E$9=0,Allocation!$C$9,IF($A4&lt;Allocation!$D$9,0,Allocation!$C$9*MIN($A4/Allocation!$E$9,1)))</f>
      </c>
      <c r="H4" s="2">
        <f>SUM(B4:G4)</f>
      </c>
    </row>
    <row r="5" spans="1:8" x14ac:dyDescent="0.25">
      <c r="A5">
        <v>2</v>
      </c>
      <c r="B5" s="2">
        <f>IF(Allocation!$E$4=0,Allocation!$C$4,IF($A5&lt;Allocation!$D$4,0,Allocation!$C$4*MIN($A5/Allocation!$E$4,1)))</f>
      </c>
      <c r="C5" s="2">
        <f>IF(Allocation!$E$5=0,Allocation!$C$5,IF($A5&lt;Allocation!$D$5,0,Allocation!$C$5*MIN($A5/Allocation!$E$5,1)))</f>
      </c>
      <c r="D5" s="2">
        <f>IF(Allocation!$E$6=0,Allocation!$C$6,IF($A5&lt;Allocation!$D$6,0,Allocation!$C$6*MIN($A5/Allocation!$E$6,1)))</f>
      </c>
      <c r="E5" s="2">
        <f>IF(Allocation!$E$7=0,Allocation!$C$7,IF($A5&lt;Allocation!$D$7,0,Allocation!$C$7*MIN($A5/Allocation!$E$7,1)))</f>
      </c>
      <c r="F5" s="2">
        <f>IF(Allocation!$E$8=0,Allocation!$C$8,IF($A5&lt;Allocation!$D$8,0,Allocation!$C$8*MIN($A5/Allocation!$E$8,1)))</f>
      </c>
      <c r="G5" s="2">
        <f>IF(Allocation!$E$9=0,Allocation!$C$9,IF($A5&lt;Allocation!$D$9,0,Allocation!$C$9*MIN($A5/Allocation!$E$9,1)))</f>
      </c>
      <c r="H5" s="2">
        <f>SUM(B5:G5)</f>
      </c>
    </row>
    <row r="6" spans="1:8" x14ac:dyDescent="0.25">
      <c r="A6">
        <v>3</v>
      </c>
      <c r="B6" s="2">
        <f>IF(Allocation!$E$4=0,Allocation!$C$4,IF($A6&lt;Allocation!$D$4,0,Allocation!$C$4*MIN($A6/Allocation!$E$4,1)))</f>
      </c>
      <c r="C6" s="2">
        <f>IF(Allocation!$E$5=0,Allocation!$C$5,IF($A6&lt;Allocation!$D$5,0,Allocation!$C$5*MIN($A6/Allocation!$E$5,1)))</f>
      </c>
      <c r="D6" s="2">
        <f>IF(Allocation!$E$6=0,Allocation!$C$6,IF($A6&lt;Allocation!$D$6,0,Allocation!$C$6*MIN($A6/Allocation!$E$6,1)))</f>
      </c>
      <c r="E6" s="2">
        <f>IF(Allocation!$E$7=0,Allocation!$C$7,IF($A6&lt;Allocation!$D$7,0,Allocation!$C$7*MIN($A6/Allocation!$E$7,1)))</f>
      </c>
      <c r="F6" s="2">
        <f>IF(Allocation!$E$8=0,Allocation!$C$8,IF($A6&lt;Allocation!$D$8,0,Allocation!$C$8*MIN($A6/Allocation!$E$8,1)))</f>
      </c>
      <c r="G6" s="2">
        <f>IF(Allocation!$E$9=0,Allocation!$C$9,IF($A6&lt;Allocation!$D$9,0,Allocation!$C$9*MIN($A6/Allocation!$E$9,1)))</f>
      </c>
      <c r="H6" s="2">
        <f>SUM(B6:G6)</f>
      </c>
    </row>
    <row r="7" spans="1:8" x14ac:dyDescent="0.25">
      <c r="A7">
        <v>4</v>
      </c>
      <c r="B7" s="2">
        <f>IF(Allocation!$E$4=0,Allocation!$C$4,IF($A7&lt;Allocation!$D$4,0,Allocation!$C$4*MIN($A7/Allocation!$E$4,1)))</f>
      </c>
      <c r="C7" s="2">
        <f>IF(Allocation!$E$5=0,Allocation!$C$5,IF($A7&lt;Allocation!$D$5,0,Allocation!$C$5*MIN($A7/Allocation!$E$5,1)))</f>
      </c>
      <c r="D7" s="2">
        <f>IF(Allocation!$E$6=0,Allocation!$C$6,IF($A7&lt;Allocation!$D$6,0,Allocation!$C$6*MIN($A7/Allocation!$E$6,1)))</f>
      </c>
      <c r="E7" s="2">
        <f>IF(Allocation!$E$7=0,Allocation!$C$7,IF($A7&lt;Allocation!$D$7,0,Allocation!$C$7*MIN($A7/Allocation!$E$7,1)))</f>
      </c>
      <c r="F7" s="2">
        <f>IF(Allocation!$E$8=0,Allocation!$C$8,IF($A7&lt;Allocation!$D$8,0,Allocation!$C$8*MIN($A7/Allocation!$E$8,1)))</f>
      </c>
      <c r="G7" s="2">
        <f>IF(Allocation!$E$9=0,Allocation!$C$9,IF($A7&lt;Allocation!$D$9,0,Allocation!$C$9*MIN($A7/Allocation!$E$9,1)))</f>
      </c>
      <c r="H7" s="2">
        <f>SUM(B7:G7)</f>
      </c>
    </row>
    <row r="8" spans="1:8" x14ac:dyDescent="0.25">
      <c r="A8">
        <v>5</v>
      </c>
      <c r="B8" s="2">
        <f>IF(Allocation!$E$4=0,Allocation!$C$4,IF($A8&lt;Allocation!$D$4,0,Allocation!$C$4*MIN($A8/Allocation!$E$4,1)))</f>
      </c>
      <c r="C8" s="2">
        <f>IF(Allocation!$E$5=0,Allocation!$C$5,IF($A8&lt;Allocation!$D$5,0,Allocation!$C$5*MIN($A8/Allocation!$E$5,1)))</f>
      </c>
      <c r="D8" s="2">
        <f>IF(Allocation!$E$6=0,Allocation!$C$6,IF($A8&lt;Allocation!$D$6,0,Allocation!$C$6*MIN($A8/Allocation!$E$6,1)))</f>
      </c>
      <c r="E8" s="2">
        <f>IF(Allocation!$E$7=0,Allocation!$C$7,IF($A8&lt;Allocation!$D$7,0,Allocation!$C$7*MIN($A8/Allocation!$E$7,1)))</f>
      </c>
      <c r="F8" s="2">
        <f>IF(Allocation!$E$8=0,Allocation!$C$8,IF($A8&lt;Allocation!$D$8,0,Allocation!$C$8*MIN($A8/Allocation!$E$8,1)))</f>
      </c>
      <c r="G8" s="2">
        <f>IF(Allocation!$E$9=0,Allocation!$C$9,IF($A8&lt;Allocation!$D$9,0,Allocation!$C$9*MIN($A8/Allocation!$E$9,1)))</f>
      </c>
      <c r="H8" s="2">
        <f>SUM(B8:G8)</f>
      </c>
    </row>
    <row r="9" spans="1:8" x14ac:dyDescent="0.25">
      <c r="A9">
        <v>6</v>
      </c>
      <c r="B9" s="2">
        <f>IF(Allocation!$E$4=0,Allocation!$C$4,IF($A9&lt;Allocation!$D$4,0,Allocation!$C$4*MIN($A9/Allocation!$E$4,1)))</f>
      </c>
      <c r="C9" s="2">
        <f>IF(Allocation!$E$5=0,Allocation!$C$5,IF($A9&lt;Allocation!$D$5,0,Allocation!$C$5*MIN($A9/Allocation!$E$5,1)))</f>
      </c>
      <c r="D9" s="2">
        <f>IF(Allocation!$E$6=0,Allocation!$C$6,IF($A9&lt;Allocation!$D$6,0,Allocation!$C$6*MIN($A9/Allocation!$E$6,1)))</f>
      </c>
      <c r="E9" s="2">
        <f>IF(Allocation!$E$7=0,Allocation!$C$7,IF($A9&lt;Allocation!$D$7,0,Allocation!$C$7*MIN($A9/Allocation!$E$7,1)))</f>
      </c>
      <c r="F9" s="2">
        <f>IF(Allocation!$E$8=0,Allocation!$C$8,IF($A9&lt;Allocation!$D$8,0,Allocation!$C$8*MIN($A9/Allocation!$E$8,1)))</f>
      </c>
      <c r="G9" s="2">
        <f>IF(Allocation!$E$9=0,Allocation!$C$9,IF($A9&lt;Allocation!$D$9,0,Allocation!$C$9*MIN($A9/Allocation!$E$9,1)))</f>
      </c>
      <c r="H9" s="2">
        <f>SUM(B9:G9)</f>
      </c>
    </row>
    <row r="10" spans="1:8" x14ac:dyDescent="0.25">
      <c r="A10">
        <v>7</v>
      </c>
      <c r="B10" s="2">
        <f>IF(Allocation!$E$4=0,Allocation!$C$4,IF($A10&lt;Allocation!$D$4,0,Allocation!$C$4*MIN($A10/Allocation!$E$4,1)))</f>
      </c>
      <c r="C10" s="2">
        <f>IF(Allocation!$E$5=0,Allocation!$C$5,IF($A10&lt;Allocation!$D$5,0,Allocation!$C$5*MIN($A10/Allocation!$E$5,1)))</f>
      </c>
      <c r="D10" s="2">
        <f>IF(Allocation!$E$6=0,Allocation!$C$6,IF($A10&lt;Allocation!$D$6,0,Allocation!$C$6*MIN($A10/Allocation!$E$6,1)))</f>
      </c>
      <c r="E10" s="2">
        <f>IF(Allocation!$E$7=0,Allocation!$C$7,IF($A10&lt;Allocation!$D$7,0,Allocation!$C$7*MIN($A10/Allocation!$E$7,1)))</f>
      </c>
      <c r="F10" s="2">
        <f>IF(Allocation!$E$8=0,Allocation!$C$8,IF($A10&lt;Allocation!$D$8,0,Allocation!$C$8*MIN($A10/Allocation!$E$8,1)))</f>
      </c>
      <c r="G10" s="2">
        <f>IF(Allocation!$E$9=0,Allocation!$C$9,IF($A10&lt;Allocation!$D$9,0,Allocation!$C$9*MIN($A10/Allocation!$E$9,1)))</f>
      </c>
      <c r="H10" s="2">
        <f>SUM(B10:G10)</f>
      </c>
    </row>
    <row r="11" spans="1:8" x14ac:dyDescent="0.25">
      <c r="A11">
        <v>8</v>
      </c>
      <c r="B11" s="2">
        <f>IF(Allocation!$E$4=0,Allocation!$C$4,IF($A11&lt;Allocation!$D$4,0,Allocation!$C$4*MIN($A11/Allocation!$E$4,1)))</f>
      </c>
      <c r="C11" s="2">
        <f>IF(Allocation!$E$5=0,Allocation!$C$5,IF($A11&lt;Allocation!$D$5,0,Allocation!$C$5*MIN($A11/Allocation!$E$5,1)))</f>
      </c>
      <c r="D11" s="2">
        <f>IF(Allocation!$E$6=0,Allocation!$C$6,IF($A11&lt;Allocation!$D$6,0,Allocation!$C$6*MIN($A11/Allocation!$E$6,1)))</f>
      </c>
      <c r="E11" s="2">
        <f>IF(Allocation!$E$7=0,Allocation!$C$7,IF($A11&lt;Allocation!$D$7,0,Allocation!$C$7*MIN($A11/Allocation!$E$7,1)))</f>
      </c>
      <c r="F11" s="2">
        <f>IF(Allocation!$E$8=0,Allocation!$C$8,IF($A11&lt;Allocation!$D$8,0,Allocation!$C$8*MIN($A11/Allocation!$E$8,1)))</f>
      </c>
      <c r="G11" s="2">
        <f>IF(Allocation!$E$9=0,Allocation!$C$9,IF($A11&lt;Allocation!$D$9,0,Allocation!$C$9*MIN($A11/Allocation!$E$9,1)))</f>
      </c>
      <c r="H11" s="2">
        <f>SUM(B11:G11)</f>
      </c>
    </row>
    <row r="12" spans="1:8" x14ac:dyDescent="0.25">
      <c r="A12">
        <v>9</v>
      </c>
      <c r="B12" s="2">
        <f>IF(Allocation!$E$4=0,Allocation!$C$4,IF($A12&lt;Allocation!$D$4,0,Allocation!$C$4*MIN($A12/Allocation!$E$4,1)))</f>
      </c>
      <c r="C12" s="2">
        <f>IF(Allocation!$E$5=0,Allocation!$C$5,IF($A12&lt;Allocation!$D$5,0,Allocation!$C$5*MIN($A12/Allocation!$E$5,1)))</f>
      </c>
      <c r="D12" s="2">
        <f>IF(Allocation!$E$6=0,Allocation!$C$6,IF($A12&lt;Allocation!$D$6,0,Allocation!$C$6*MIN($A12/Allocation!$E$6,1)))</f>
      </c>
      <c r="E12" s="2">
        <f>IF(Allocation!$E$7=0,Allocation!$C$7,IF($A12&lt;Allocation!$D$7,0,Allocation!$C$7*MIN($A12/Allocation!$E$7,1)))</f>
      </c>
      <c r="F12" s="2">
        <f>IF(Allocation!$E$8=0,Allocation!$C$8,IF($A12&lt;Allocation!$D$8,0,Allocation!$C$8*MIN($A12/Allocation!$E$8,1)))</f>
      </c>
      <c r="G12" s="2">
        <f>IF(Allocation!$E$9=0,Allocation!$C$9,IF($A12&lt;Allocation!$D$9,0,Allocation!$C$9*MIN($A12/Allocation!$E$9,1)))</f>
      </c>
      <c r="H12" s="2">
        <f>SUM(B12:G12)</f>
      </c>
    </row>
    <row r="13" spans="1:8" x14ac:dyDescent="0.25">
      <c r="A13">
        <v>10</v>
      </c>
      <c r="B13" s="2">
        <f>IF(Allocation!$E$4=0,Allocation!$C$4,IF($A13&lt;Allocation!$D$4,0,Allocation!$C$4*MIN($A13/Allocation!$E$4,1)))</f>
      </c>
      <c r="C13" s="2">
        <f>IF(Allocation!$E$5=0,Allocation!$C$5,IF($A13&lt;Allocation!$D$5,0,Allocation!$C$5*MIN($A13/Allocation!$E$5,1)))</f>
      </c>
      <c r="D13" s="2">
        <f>IF(Allocation!$E$6=0,Allocation!$C$6,IF($A13&lt;Allocation!$D$6,0,Allocation!$C$6*MIN($A13/Allocation!$E$6,1)))</f>
      </c>
      <c r="E13" s="2">
        <f>IF(Allocation!$E$7=0,Allocation!$C$7,IF($A13&lt;Allocation!$D$7,0,Allocation!$C$7*MIN($A13/Allocation!$E$7,1)))</f>
      </c>
      <c r="F13" s="2">
        <f>IF(Allocation!$E$8=0,Allocation!$C$8,IF($A13&lt;Allocation!$D$8,0,Allocation!$C$8*MIN($A13/Allocation!$E$8,1)))</f>
      </c>
      <c r="G13" s="2">
        <f>IF(Allocation!$E$9=0,Allocation!$C$9,IF($A13&lt;Allocation!$D$9,0,Allocation!$C$9*MIN($A13/Allocation!$E$9,1)))</f>
      </c>
      <c r="H13" s="2">
        <f>SUM(B13:G13)</f>
      </c>
    </row>
    <row r="14" spans="1:8" x14ac:dyDescent="0.25">
      <c r="A14">
        <v>11</v>
      </c>
      <c r="B14" s="2">
        <f>IF(Allocation!$E$4=0,Allocation!$C$4,IF($A14&lt;Allocation!$D$4,0,Allocation!$C$4*MIN($A14/Allocation!$E$4,1)))</f>
      </c>
      <c r="C14" s="2">
        <f>IF(Allocation!$E$5=0,Allocation!$C$5,IF($A14&lt;Allocation!$D$5,0,Allocation!$C$5*MIN($A14/Allocation!$E$5,1)))</f>
      </c>
      <c r="D14" s="2">
        <f>IF(Allocation!$E$6=0,Allocation!$C$6,IF($A14&lt;Allocation!$D$6,0,Allocation!$C$6*MIN($A14/Allocation!$E$6,1)))</f>
      </c>
      <c r="E14" s="2">
        <f>IF(Allocation!$E$7=0,Allocation!$C$7,IF($A14&lt;Allocation!$D$7,0,Allocation!$C$7*MIN($A14/Allocation!$E$7,1)))</f>
      </c>
      <c r="F14" s="2">
        <f>IF(Allocation!$E$8=0,Allocation!$C$8,IF($A14&lt;Allocation!$D$8,0,Allocation!$C$8*MIN($A14/Allocation!$E$8,1)))</f>
      </c>
      <c r="G14" s="2">
        <f>IF(Allocation!$E$9=0,Allocation!$C$9,IF($A14&lt;Allocation!$D$9,0,Allocation!$C$9*MIN($A14/Allocation!$E$9,1)))</f>
      </c>
      <c r="H14" s="2">
        <f>SUM(B14:G14)</f>
      </c>
    </row>
    <row r="15" spans="1:8" x14ac:dyDescent="0.25">
      <c r="A15">
        <v>12</v>
      </c>
      <c r="B15" s="2">
        <f>IF(Allocation!$E$4=0,Allocation!$C$4,IF($A15&lt;Allocation!$D$4,0,Allocation!$C$4*MIN($A15/Allocation!$E$4,1)))</f>
      </c>
      <c r="C15" s="2">
        <f>IF(Allocation!$E$5=0,Allocation!$C$5,IF($A15&lt;Allocation!$D$5,0,Allocation!$C$5*MIN($A15/Allocation!$E$5,1)))</f>
      </c>
      <c r="D15" s="2">
        <f>IF(Allocation!$E$6=0,Allocation!$C$6,IF($A15&lt;Allocation!$D$6,0,Allocation!$C$6*MIN($A15/Allocation!$E$6,1)))</f>
      </c>
      <c r="E15" s="2">
        <f>IF(Allocation!$E$7=0,Allocation!$C$7,IF($A15&lt;Allocation!$D$7,0,Allocation!$C$7*MIN($A15/Allocation!$E$7,1)))</f>
      </c>
      <c r="F15" s="2">
        <f>IF(Allocation!$E$8=0,Allocation!$C$8,IF($A15&lt;Allocation!$D$8,0,Allocation!$C$8*MIN($A15/Allocation!$E$8,1)))</f>
      </c>
      <c r="G15" s="2">
        <f>IF(Allocation!$E$9=0,Allocation!$C$9,IF($A15&lt;Allocation!$D$9,0,Allocation!$C$9*MIN($A15/Allocation!$E$9,1)))</f>
      </c>
      <c r="H15" s="2">
        <f>SUM(B15:G15)</f>
      </c>
    </row>
    <row r="16" spans="1:8" x14ac:dyDescent="0.25">
      <c r="A16">
        <v>13</v>
      </c>
      <c r="B16" s="2">
        <f>IF(Allocation!$E$4=0,Allocation!$C$4,IF($A16&lt;Allocation!$D$4,0,Allocation!$C$4*MIN($A16/Allocation!$E$4,1)))</f>
      </c>
      <c r="C16" s="2">
        <f>IF(Allocation!$E$5=0,Allocation!$C$5,IF($A16&lt;Allocation!$D$5,0,Allocation!$C$5*MIN($A16/Allocation!$E$5,1)))</f>
      </c>
      <c r="D16" s="2">
        <f>IF(Allocation!$E$6=0,Allocation!$C$6,IF($A16&lt;Allocation!$D$6,0,Allocation!$C$6*MIN($A16/Allocation!$E$6,1)))</f>
      </c>
      <c r="E16" s="2">
        <f>IF(Allocation!$E$7=0,Allocation!$C$7,IF($A16&lt;Allocation!$D$7,0,Allocation!$C$7*MIN($A16/Allocation!$E$7,1)))</f>
      </c>
      <c r="F16" s="2">
        <f>IF(Allocation!$E$8=0,Allocation!$C$8,IF($A16&lt;Allocation!$D$8,0,Allocation!$C$8*MIN($A16/Allocation!$E$8,1)))</f>
      </c>
      <c r="G16" s="2">
        <f>IF(Allocation!$E$9=0,Allocation!$C$9,IF($A16&lt;Allocation!$D$9,0,Allocation!$C$9*MIN($A16/Allocation!$E$9,1)))</f>
      </c>
      <c r="H16" s="2">
        <f>SUM(B16:G16)</f>
      </c>
    </row>
    <row r="17" spans="1:8" x14ac:dyDescent="0.25">
      <c r="A17">
        <v>14</v>
      </c>
      <c r="B17" s="2">
        <f>IF(Allocation!$E$4=0,Allocation!$C$4,IF($A17&lt;Allocation!$D$4,0,Allocation!$C$4*MIN($A17/Allocation!$E$4,1)))</f>
      </c>
      <c r="C17" s="2">
        <f>IF(Allocation!$E$5=0,Allocation!$C$5,IF($A17&lt;Allocation!$D$5,0,Allocation!$C$5*MIN($A17/Allocation!$E$5,1)))</f>
      </c>
      <c r="D17" s="2">
        <f>IF(Allocation!$E$6=0,Allocation!$C$6,IF($A17&lt;Allocation!$D$6,0,Allocation!$C$6*MIN($A17/Allocation!$E$6,1)))</f>
      </c>
      <c r="E17" s="2">
        <f>IF(Allocation!$E$7=0,Allocation!$C$7,IF($A17&lt;Allocation!$D$7,0,Allocation!$C$7*MIN($A17/Allocation!$E$7,1)))</f>
      </c>
      <c r="F17" s="2">
        <f>IF(Allocation!$E$8=0,Allocation!$C$8,IF($A17&lt;Allocation!$D$8,0,Allocation!$C$8*MIN($A17/Allocation!$E$8,1)))</f>
      </c>
      <c r="G17" s="2">
        <f>IF(Allocation!$E$9=0,Allocation!$C$9,IF($A17&lt;Allocation!$D$9,0,Allocation!$C$9*MIN($A17/Allocation!$E$9,1)))</f>
      </c>
      <c r="H17" s="2">
        <f>SUM(B17:G17)</f>
      </c>
    </row>
    <row r="18" spans="1:8" x14ac:dyDescent="0.25">
      <c r="A18">
        <v>15</v>
      </c>
      <c r="B18" s="2">
        <f>IF(Allocation!$E$4=0,Allocation!$C$4,IF($A18&lt;Allocation!$D$4,0,Allocation!$C$4*MIN($A18/Allocation!$E$4,1)))</f>
      </c>
      <c r="C18" s="2">
        <f>IF(Allocation!$E$5=0,Allocation!$C$5,IF($A18&lt;Allocation!$D$5,0,Allocation!$C$5*MIN($A18/Allocation!$E$5,1)))</f>
      </c>
      <c r="D18" s="2">
        <f>IF(Allocation!$E$6=0,Allocation!$C$6,IF($A18&lt;Allocation!$D$6,0,Allocation!$C$6*MIN($A18/Allocation!$E$6,1)))</f>
      </c>
      <c r="E18" s="2">
        <f>IF(Allocation!$E$7=0,Allocation!$C$7,IF($A18&lt;Allocation!$D$7,0,Allocation!$C$7*MIN($A18/Allocation!$E$7,1)))</f>
      </c>
      <c r="F18" s="2">
        <f>IF(Allocation!$E$8=0,Allocation!$C$8,IF($A18&lt;Allocation!$D$8,0,Allocation!$C$8*MIN($A18/Allocation!$E$8,1)))</f>
      </c>
      <c r="G18" s="2">
        <f>IF(Allocation!$E$9=0,Allocation!$C$9,IF($A18&lt;Allocation!$D$9,0,Allocation!$C$9*MIN($A18/Allocation!$E$9,1)))</f>
      </c>
      <c r="H18" s="2">
        <f>SUM(B18:G18)</f>
      </c>
    </row>
    <row r="19" spans="1:8" x14ac:dyDescent="0.25">
      <c r="A19">
        <v>16</v>
      </c>
      <c r="B19" s="2">
        <f>IF(Allocation!$E$4=0,Allocation!$C$4,IF($A19&lt;Allocation!$D$4,0,Allocation!$C$4*MIN($A19/Allocation!$E$4,1)))</f>
      </c>
      <c r="C19" s="2">
        <f>IF(Allocation!$E$5=0,Allocation!$C$5,IF($A19&lt;Allocation!$D$5,0,Allocation!$C$5*MIN($A19/Allocation!$E$5,1)))</f>
      </c>
      <c r="D19" s="2">
        <f>IF(Allocation!$E$6=0,Allocation!$C$6,IF($A19&lt;Allocation!$D$6,0,Allocation!$C$6*MIN($A19/Allocation!$E$6,1)))</f>
      </c>
      <c r="E19" s="2">
        <f>IF(Allocation!$E$7=0,Allocation!$C$7,IF($A19&lt;Allocation!$D$7,0,Allocation!$C$7*MIN($A19/Allocation!$E$7,1)))</f>
      </c>
      <c r="F19" s="2">
        <f>IF(Allocation!$E$8=0,Allocation!$C$8,IF($A19&lt;Allocation!$D$8,0,Allocation!$C$8*MIN($A19/Allocation!$E$8,1)))</f>
      </c>
      <c r="G19" s="2">
        <f>IF(Allocation!$E$9=0,Allocation!$C$9,IF($A19&lt;Allocation!$D$9,0,Allocation!$C$9*MIN($A19/Allocation!$E$9,1)))</f>
      </c>
      <c r="H19" s="2">
        <f>SUM(B19:G19)</f>
      </c>
    </row>
    <row r="20" spans="1:8" x14ac:dyDescent="0.25">
      <c r="A20">
        <v>17</v>
      </c>
      <c r="B20" s="2">
        <f>IF(Allocation!$E$4=0,Allocation!$C$4,IF($A20&lt;Allocation!$D$4,0,Allocation!$C$4*MIN($A20/Allocation!$E$4,1)))</f>
      </c>
      <c r="C20" s="2">
        <f>IF(Allocation!$E$5=0,Allocation!$C$5,IF($A20&lt;Allocation!$D$5,0,Allocation!$C$5*MIN($A20/Allocation!$E$5,1)))</f>
      </c>
      <c r="D20" s="2">
        <f>IF(Allocation!$E$6=0,Allocation!$C$6,IF($A20&lt;Allocation!$D$6,0,Allocation!$C$6*MIN($A20/Allocation!$E$6,1)))</f>
      </c>
      <c r="E20" s="2">
        <f>IF(Allocation!$E$7=0,Allocation!$C$7,IF($A20&lt;Allocation!$D$7,0,Allocation!$C$7*MIN($A20/Allocation!$E$7,1)))</f>
      </c>
      <c r="F20" s="2">
        <f>IF(Allocation!$E$8=0,Allocation!$C$8,IF($A20&lt;Allocation!$D$8,0,Allocation!$C$8*MIN($A20/Allocation!$E$8,1)))</f>
      </c>
      <c r="G20" s="2">
        <f>IF(Allocation!$E$9=0,Allocation!$C$9,IF($A20&lt;Allocation!$D$9,0,Allocation!$C$9*MIN($A20/Allocation!$E$9,1)))</f>
      </c>
      <c r="H20" s="2">
        <f>SUM(B20:G20)</f>
      </c>
    </row>
    <row r="21" spans="1:8" x14ac:dyDescent="0.25">
      <c r="A21">
        <v>18</v>
      </c>
      <c r="B21" s="2">
        <f>IF(Allocation!$E$4=0,Allocation!$C$4,IF($A21&lt;Allocation!$D$4,0,Allocation!$C$4*MIN($A21/Allocation!$E$4,1)))</f>
      </c>
      <c r="C21" s="2">
        <f>IF(Allocation!$E$5=0,Allocation!$C$5,IF($A21&lt;Allocation!$D$5,0,Allocation!$C$5*MIN($A21/Allocation!$E$5,1)))</f>
      </c>
      <c r="D21" s="2">
        <f>IF(Allocation!$E$6=0,Allocation!$C$6,IF($A21&lt;Allocation!$D$6,0,Allocation!$C$6*MIN($A21/Allocation!$E$6,1)))</f>
      </c>
      <c r="E21" s="2">
        <f>IF(Allocation!$E$7=0,Allocation!$C$7,IF($A21&lt;Allocation!$D$7,0,Allocation!$C$7*MIN($A21/Allocation!$E$7,1)))</f>
      </c>
      <c r="F21" s="2">
        <f>IF(Allocation!$E$8=0,Allocation!$C$8,IF($A21&lt;Allocation!$D$8,0,Allocation!$C$8*MIN($A21/Allocation!$E$8,1)))</f>
      </c>
      <c r="G21" s="2">
        <f>IF(Allocation!$E$9=0,Allocation!$C$9,IF($A21&lt;Allocation!$D$9,0,Allocation!$C$9*MIN($A21/Allocation!$E$9,1)))</f>
      </c>
      <c r="H21" s="2">
        <f>SUM(B21:G21)</f>
      </c>
    </row>
    <row r="22" spans="1:8" x14ac:dyDescent="0.25">
      <c r="A22">
        <v>19</v>
      </c>
      <c r="B22" s="2">
        <f>IF(Allocation!$E$4=0,Allocation!$C$4,IF($A22&lt;Allocation!$D$4,0,Allocation!$C$4*MIN($A22/Allocation!$E$4,1)))</f>
      </c>
      <c r="C22" s="2">
        <f>IF(Allocation!$E$5=0,Allocation!$C$5,IF($A22&lt;Allocation!$D$5,0,Allocation!$C$5*MIN($A22/Allocation!$E$5,1)))</f>
      </c>
      <c r="D22" s="2">
        <f>IF(Allocation!$E$6=0,Allocation!$C$6,IF($A22&lt;Allocation!$D$6,0,Allocation!$C$6*MIN($A22/Allocation!$E$6,1)))</f>
      </c>
      <c r="E22" s="2">
        <f>IF(Allocation!$E$7=0,Allocation!$C$7,IF($A22&lt;Allocation!$D$7,0,Allocation!$C$7*MIN($A22/Allocation!$E$7,1)))</f>
      </c>
      <c r="F22" s="2">
        <f>IF(Allocation!$E$8=0,Allocation!$C$8,IF($A22&lt;Allocation!$D$8,0,Allocation!$C$8*MIN($A22/Allocation!$E$8,1)))</f>
      </c>
      <c r="G22" s="2">
        <f>IF(Allocation!$E$9=0,Allocation!$C$9,IF($A22&lt;Allocation!$D$9,0,Allocation!$C$9*MIN($A22/Allocation!$E$9,1)))</f>
      </c>
      <c r="H22" s="2">
        <f>SUM(B22:G22)</f>
      </c>
    </row>
    <row r="23" spans="1:8" x14ac:dyDescent="0.25">
      <c r="A23">
        <v>20</v>
      </c>
      <c r="B23" s="2">
        <f>IF(Allocation!$E$4=0,Allocation!$C$4,IF($A23&lt;Allocation!$D$4,0,Allocation!$C$4*MIN($A23/Allocation!$E$4,1)))</f>
      </c>
      <c r="C23" s="2">
        <f>IF(Allocation!$E$5=0,Allocation!$C$5,IF($A23&lt;Allocation!$D$5,0,Allocation!$C$5*MIN($A23/Allocation!$E$5,1)))</f>
      </c>
      <c r="D23" s="2">
        <f>IF(Allocation!$E$6=0,Allocation!$C$6,IF($A23&lt;Allocation!$D$6,0,Allocation!$C$6*MIN($A23/Allocation!$E$6,1)))</f>
      </c>
      <c r="E23" s="2">
        <f>IF(Allocation!$E$7=0,Allocation!$C$7,IF($A23&lt;Allocation!$D$7,0,Allocation!$C$7*MIN($A23/Allocation!$E$7,1)))</f>
      </c>
      <c r="F23" s="2">
        <f>IF(Allocation!$E$8=0,Allocation!$C$8,IF($A23&lt;Allocation!$D$8,0,Allocation!$C$8*MIN($A23/Allocation!$E$8,1)))</f>
      </c>
      <c r="G23" s="2">
        <f>IF(Allocation!$E$9=0,Allocation!$C$9,IF($A23&lt;Allocation!$D$9,0,Allocation!$C$9*MIN($A23/Allocation!$E$9,1)))</f>
      </c>
      <c r="H23" s="2">
        <f>SUM(B23:G23)</f>
      </c>
    </row>
    <row r="24" spans="1:8" x14ac:dyDescent="0.25">
      <c r="A24">
        <v>21</v>
      </c>
      <c r="B24" s="2">
        <f>IF(Allocation!$E$4=0,Allocation!$C$4,IF($A24&lt;Allocation!$D$4,0,Allocation!$C$4*MIN($A24/Allocation!$E$4,1)))</f>
      </c>
      <c r="C24" s="2">
        <f>IF(Allocation!$E$5=0,Allocation!$C$5,IF($A24&lt;Allocation!$D$5,0,Allocation!$C$5*MIN($A24/Allocation!$E$5,1)))</f>
      </c>
      <c r="D24" s="2">
        <f>IF(Allocation!$E$6=0,Allocation!$C$6,IF($A24&lt;Allocation!$D$6,0,Allocation!$C$6*MIN($A24/Allocation!$E$6,1)))</f>
      </c>
      <c r="E24" s="2">
        <f>IF(Allocation!$E$7=0,Allocation!$C$7,IF($A24&lt;Allocation!$D$7,0,Allocation!$C$7*MIN($A24/Allocation!$E$7,1)))</f>
      </c>
      <c r="F24" s="2">
        <f>IF(Allocation!$E$8=0,Allocation!$C$8,IF($A24&lt;Allocation!$D$8,0,Allocation!$C$8*MIN($A24/Allocation!$E$8,1)))</f>
      </c>
      <c r="G24" s="2">
        <f>IF(Allocation!$E$9=0,Allocation!$C$9,IF($A24&lt;Allocation!$D$9,0,Allocation!$C$9*MIN($A24/Allocation!$E$9,1)))</f>
      </c>
      <c r="H24" s="2">
        <f>SUM(B24:G24)</f>
      </c>
    </row>
    <row r="25" spans="1:8" x14ac:dyDescent="0.25">
      <c r="A25">
        <v>22</v>
      </c>
      <c r="B25" s="2">
        <f>IF(Allocation!$E$4=0,Allocation!$C$4,IF($A25&lt;Allocation!$D$4,0,Allocation!$C$4*MIN($A25/Allocation!$E$4,1)))</f>
      </c>
      <c r="C25" s="2">
        <f>IF(Allocation!$E$5=0,Allocation!$C$5,IF($A25&lt;Allocation!$D$5,0,Allocation!$C$5*MIN($A25/Allocation!$E$5,1)))</f>
      </c>
      <c r="D25" s="2">
        <f>IF(Allocation!$E$6=0,Allocation!$C$6,IF($A25&lt;Allocation!$D$6,0,Allocation!$C$6*MIN($A25/Allocation!$E$6,1)))</f>
      </c>
      <c r="E25" s="2">
        <f>IF(Allocation!$E$7=0,Allocation!$C$7,IF($A25&lt;Allocation!$D$7,0,Allocation!$C$7*MIN($A25/Allocation!$E$7,1)))</f>
      </c>
      <c r="F25" s="2">
        <f>IF(Allocation!$E$8=0,Allocation!$C$8,IF($A25&lt;Allocation!$D$8,0,Allocation!$C$8*MIN($A25/Allocation!$E$8,1)))</f>
      </c>
      <c r="G25" s="2">
        <f>IF(Allocation!$E$9=0,Allocation!$C$9,IF($A25&lt;Allocation!$D$9,0,Allocation!$C$9*MIN($A25/Allocation!$E$9,1)))</f>
      </c>
      <c r="H25" s="2">
        <f>SUM(B25:G25)</f>
      </c>
    </row>
    <row r="26" spans="1:8" x14ac:dyDescent="0.25">
      <c r="A26">
        <v>23</v>
      </c>
      <c r="B26" s="2">
        <f>IF(Allocation!$E$4=0,Allocation!$C$4,IF($A26&lt;Allocation!$D$4,0,Allocation!$C$4*MIN($A26/Allocation!$E$4,1)))</f>
      </c>
      <c r="C26" s="2">
        <f>IF(Allocation!$E$5=0,Allocation!$C$5,IF($A26&lt;Allocation!$D$5,0,Allocation!$C$5*MIN($A26/Allocation!$E$5,1)))</f>
      </c>
      <c r="D26" s="2">
        <f>IF(Allocation!$E$6=0,Allocation!$C$6,IF($A26&lt;Allocation!$D$6,0,Allocation!$C$6*MIN($A26/Allocation!$E$6,1)))</f>
      </c>
      <c r="E26" s="2">
        <f>IF(Allocation!$E$7=0,Allocation!$C$7,IF($A26&lt;Allocation!$D$7,0,Allocation!$C$7*MIN($A26/Allocation!$E$7,1)))</f>
      </c>
      <c r="F26" s="2">
        <f>IF(Allocation!$E$8=0,Allocation!$C$8,IF($A26&lt;Allocation!$D$8,0,Allocation!$C$8*MIN($A26/Allocation!$E$8,1)))</f>
      </c>
      <c r="G26" s="2">
        <f>IF(Allocation!$E$9=0,Allocation!$C$9,IF($A26&lt;Allocation!$D$9,0,Allocation!$C$9*MIN($A26/Allocation!$E$9,1)))</f>
      </c>
      <c r="H26" s="2">
        <f>SUM(B26:G26)</f>
      </c>
    </row>
    <row r="27" spans="1:8" x14ac:dyDescent="0.25">
      <c r="A27">
        <v>24</v>
      </c>
      <c r="B27" s="2">
        <f>IF(Allocation!$E$4=0,Allocation!$C$4,IF($A27&lt;Allocation!$D$4,0,Allocation!$C$4*MIN($A27/Allocation!$E$4,1)))</f>
      </c>
      <c r="C27" s="2">
        <f>IF(Allocation!$E$5=0,Allocation!$C$5,IF($A27&lt;Allocation!$D$5,0,Allocation!$C$5*MIN($A27/Allocation!$E$5,1)))</f>
      </c>
      <c r="D27" s="2">
        <f>IF(Allocation!$E$6=0,Allocation!$C$6,IF($A27&lt;Allocation!$D$6,0,Allocation!$C$6*MIN($A27/Allocation!$E$6,1)))</f>
      </c>
      <c r="E27" s="2">
        <f>IF(Allocation!$E$7=0,Allocation!$C$7,IF($A27&lt;Allocation!$D$7,0,Allocation!$C$7*MIN($A27/Allocation!$E$7,1)))</f>
      </c>
      <c r="F27" s="2">
        <f>IF(Allocation!$E$8=0,Allocation!$C$8,IF($A27&lt;Allocation!$D$8,0,Allocation!$C$8*MIN($A27/Allocation!$E$8,1)))</f>
      </c>
      <c r="G27" s="2">
        <f>IF(Allocation!$E$9=0,Allocation!$C$9,IF($A27&lt;Allocation!$D$9,0,Allocation!$C$9*MIN($A27/Allocation!$E$9,1)))</f>
      </c>
      <c r="H27" s="2">
        <f>SUM(B27:G27)</f>
      </c>
    </row>
    <row r="28" spans="1:8" x14ac:dyDescent="0.25">
      <c r="A28">
        <v>25</v>
      </c>
      <c r="B28" s="2">
        <f>IF(Allocation!$E$4=0,Allocation!$C$4,IF($A28&lt;Allocation!$D$4,0,Allocation!$C$4*MIN($A28/Allocation!$E$4,1)))</f>
      </c>
      <c r="C28" s="2">
        <f>IF(Allocation!$E$5=0,Allocation!$C$5,IF($A28&lt;Allocation!$D$5,0,Allocation!$C$5*MIN($A28/Allocation!$E$5,1)))</f>
      </c>
      <c r="D28" s="2">
        <f>IF(Allocation!$E$6=0,Allocation!$C$6,IF($A28&lt;Allocation!$D$6,0,Allocation!$C$6*MIN($A28/Allocation!$E$6,1)))</f>
      </c>
      <c r="E28" s="2">
        <f>IF(Allocation!$E$7=0,Allocation!$C$7,IF($A28&lt;Allocation!$D$7,0,Allocation!$C$7*MIN($A28/Allocation!$E$7,1)))</f>
      </c>
      <c r="F28" s="2">
        <f>IF(Allocation!$E$8=0,Allocation!$C$8,IF($A28&lt;Allocation!$D$8,0,Allocation!$C$8*MIN($A28/Allocation!$E$8,1)))</f>
      </c>
      <c r="G28" s="2">
        <f>IF(Allocation!$E$9=0,Allocation!$C$9,IF($A28&lt;Allocation!$D$9,0,Allocation!$C$9*MIN($A28/Allocation!$E$9,1)))</f>
      </c>
      <c r="H28" s="2">
        <f>SUM(B28:G28)</f>
      </c>
    </row>
    <row r="29" spans="1:8" x14ac:dyDescent="0.25">
      <c r="A29">
        <v>26</v>
      </c>
      <c r="B29" s="2">
        <f>IF(Allocation!$E$4=0,Allocation!$C$4,IF($A29&lt;Allocation!$D$4,0,Allocation!$C$4*MIN($A29/Allocation!$E$4,1)))</f>
      </c>
      <c r="C29" s="2">
        <f>IF(Allocation!$E$5=0,Allocation!$C$5,IF($A29&lt;Allocation!$D$5,0,Allocation!$C$5*MIN($A29/Allocation!$E$5,1)))</f>
      </c>
      <c r="D29" s="2">
        <f>IF(Allocation!$E$6=0,Allocation!$C$6,IF($A29&lt;Allocation!$D$6,0,Allocation!$C$6*MIN($A29/Allocation!$E$6,1)))</f>
      </c>
      <c r="E29" s="2">
        <f>IF(Allocation!$E$7=0,Allocation!$C$7,IF($A29&lt;Allocation!$D$7,0,Allocation!$C$7*MIN($A29/Allocation!$E$7,1)))</f>
      </c>
      <c r="F29" s="2">
        <f>IF(Allocation!$E$8=0,Allocation!$C$8,IF($A29&lt;Allocation!$D$8,0,Allocation!$C$8*MIN($A29/Allocation!$E$8,1)))</f>
      </c>
      <c r="G29" s="2">
        <f>IF(Allocation!$E$9=0,Allocation!$C$9,IF($A29&lt;Allocation!$D$9,0,Allocation!$C$9*MIN($A29/Allocation!$E$9,1)))</f>
      </c>
      <c r="H29" s="2">
        <f>SUM(B29:G29)</f>
      </c>
    </row>
    <row r="30" spans="1:8" x14ac:dyDescent="0.25">
      <c r="A30">
        <v>27</v>
      </c>
      <c r="B30" s="2">
        <f>IF(Allocation!$E$4=0,Allocation!$C$4,IF($A30&lt;Allocation!$D$4,0,Allocation!$C$4*MIN($A30/Allocation!$E$4,1)))</f>
      </c>
      <c r="C30" s="2">
        <f>IF(Allocation!$E$5=0,Allocation!$C$5,IF($A30&lt;Allocation!$D$5,0,Allocation!$C$5*MIN($A30/Allocation!$E$5,1)))</f>
      </c>
      <c r="D30" s="2">
        <f>IF(Allocation!$E$6=0,Allocation!$C$6,IF($A30&lt;Allocation!$D$6,0,Allocation!$C$6*MIN($A30/Allocation!$E$6,1)))</f>
      </c>
      <c r="E30" s="2">
        <f>IF(Allocation!$E$7=0,Allocation!$C$7,IF($A30&lt;Allocation!$D$7,0,Allocation!$C$7*MIN($A30/Allocation!$E$7,1)))</f>
      </c>
      <c r="F30" s="2">
        <f>IF(Allocation!$E$8=0,Allocation!$C$8,IF($A30&lt;Allocation!$D$8,0,Allocation!$C$8*MIN($A30/Allocation!$E$8,1)))</f>
      </c>
      <c r="G30" s="2">
        <f>IF(Allocation!$E$9=0,Allocation!$C$9,IF($A30&lt;Allocation!$D$9,0,Allocation!$C$9*MIN($A30/Allocation!$E$9,1)))</f>
      </c>
      <c r="H30" s="2">
        <f>SUM(B30:G30)</f>
      </c>
    </row>
    <row r="31" spans="1:8" x14ac:dyDescent="0.25">
      <c r="A31">
        <v>28</v>
      </c>
      <c r="B31" s="2">
        <f>IF(Allocation!$E$4=0,Allocation!$C$4,IF($A31&lt;Allocation!$D$4,0,Allocation!$C$4*MIN($A31/Allocation!$E$4,1)))</f>
      </c>
      <c r="C31" s="2">
        <f>IF(Allocation!$E$5=0,Allocation!$C$5,IF($A31&lt;Allocation!$D$5,0,Allocation!$C$5*MIN($A31/Allocation!$E$5,1)))</f>
      </c>
      <c r="D31" s="2">
        <f>IF(Allocation!$E$6=0,Allocation!$C$6,IF($A31&lt;Allocation!$D$6,0,Allocation!$C$6*MIN($A31/Allocation!$E$6,1)))</f>
      </c>
      <c r="E31" s="2">
        <f>IF(Allocation!$E$7=0,Allocation!$C$7,IF($A31&lt;Allocation!$D$7,0,Allocation!$C$7*MIN($A31/Allocation!$E$7,1)))</f>
      </c>
      <c r="F31" s="2">
        <f>IF(Allocation!$E$8=0,Allocation!$C$8,IF($A31&lt;Allocation!$D$8,0,Allocation!$C$8*MIN($A31/Allocation!$E$8,1)))</f>
      </c>
      <c r="G31" s="2">
        <f>IF(Allocation!$E$9=0,Allocation!$C$9,IF($A31&lt;Allocation!$D$9,0,Allocation!$C$9*MIN($A31/Allocation!$E$9,1)))</f>
      </c>
      <c r="H31" s="2">
        <f>SUM(B31:G31)</f>
      </c>
    </row>
    <row r="32" spans="1:8" x14ac:dyDescent="0.25">
      <c r="A32">
        <v>29</v>
      </c>
      <c r="B32" s="2">
        <f>IF(Allocation!$E$4=0,Allocation!$C$4,IF($A32&lt;Allocation!$D$4,0,Allocation!$C$4*MIN($A32/Allocation!$E$4,1)))</f>
      </c>
      <c r="C32" s="2">
        <f>IF(Allocation!$E$5=0,Allocation!$C$5,IF($A32&lt;Allocation!$D$5,0,Allocation!$C$5*MIN($A32/Allocation!$E$5,1)))</f>
      </c>
      <c r="D32" s="2">
        <f>IF(Allocation!$E$6=0,Allocation!$C$6,IF($A32&lt;Allocation!$D$6,0,Allocation!$C$6*MIN($A32/Allocation!$E$6,1)))</f>
      </c>
      <c r="E32" s="2">
        <f>IF(Allocation!$E$7=0,Allocation!$C$7,IF($A32&lt;Allocation!$D$7,0,Allocation!$C$7*MIN($A32/Allocation!$E$7,1)))</f>
      </c>
      <c r="F32" s="2">
        <f>IF(Allocation!$E$8=0,Allocation!$C$8,IF($A32&lt;Allocation!$D$8,0,Allocation!$C$8*MIN($A32/Allocation!$E$8,1)))</f>
      </c>
      <c r="G32" s="2">
        <f>IF(Allocation!$E$9=0,Allocation!$C$9,IF($A32&lt;Allocation!$D$9,0,Allocation!$C$9*MIN($A32/Allocation!$E$9,1)))</f>
      </c>
      <c r="H32" s="2">
        <f>SUM(B32:G32)</f>
      </c>
    </row>
    <row r="33" spans="1:8" x14ac:dyDescent="0.25">
      <c r="A33">
        <v>30</v>
      </c>
      <c r="B33" s="2">
        <f>IF(Allocation!$E$4=0,Allocation!$C$4,IF($A33&lt;Allocation!$D$4,0,Allocation!$C$4*MIN($A33/Allocation!$E$4,1)))</f>
      </c>
      <c r="C33" s="2">
        <f>IF(Allocation!$E$5=0,Allocation!$C$5,IF($A33&lt;Allocation!$D$5,0,Allocation!$C$5*MIN($A33/Allocation!$E$5,1)))</f>
      </c>
      <c r="D33" s="2">
        <f>IF(Allocation!$E$6=0,Allocation!$C$6,IF($A33&lt;Allocation!$D$6,0,Allocation!$C$6*MIN($A33/Allocation!$E$6,1)))</f>
      </c>
      <c r="E33" s="2">
        <f>IF(Allocation!$E$7=0,Allocation!$C$7,IF($A33&lt;Allocation!$D$7,0,Allocation!$C$7*MIN($A33/Allocation!$E$7,1)))</f>
      </c>
      <c r="F33" s="2">
        <f>IF(Allocation!$E$8=0,Allocation!$C$8,IF($A33&lt;Allocation!$D$8,0,Allocation!$C$8*MIN($A33/Allocation!$E$8,1)))</f>
      </c>
      <c r="G33" s="2">
        <f>IF(Allocation!$E$9=0,Allocation!$C$9,IF($A33&lt;Allocation!$D$9,0,Allocation!$C$9*MIN($A33/Allocation!$E$9,1)))</f>
      </c>
      <c r="H33" s="2">
        <f>SUM(B33:G33)</f>
      </c>
    </row>
    <row r="34" spans="1:8" x14ac:dyDescent="0.25">
      <c r="A34">
        <v>31</v>
      </c>
      <c r="B34" s="2">
        <f>IF(Allocation!$E$4=0,Allocation!$C$4,IF($A34&lt;Allocation!$D$4,0,Allocation!$C$4*MIN($A34/Allocation!$E$4,1)))</f>
      </c>
      <c r="C34" s="2">
        <f>IF(Allocation!$E$5=0,Allocation!$C$5,IF($A34&lt;Allocation!$D$5,0,Allocation!$C$5*MIN($A34/Allocation!$E$5,1)))</f>
      </c>
      <c r="D34" s="2">
        <f>IF(Allocation!$E$6=0,Allocation!$C$6,IF($A34&lt;Allocation!$D$6,0,Allocation!$C$6*MIN($A34/Allocation!$E$6,1)))</f>
      </c>
      <c r="E34" s="2">
        <f>IF(Allocation!$E$7=0,Allocation!$C$7,IF($A34&lt;Allocation!$D$7,0,Allocation!$C$7*MIN($A34/Allocation!$E$7,1)))</f>
      </c>
      <c r="F34" s="2">
        <f>IF(Allocation!$E$8=0,Allocation!$C$8,IF($A34&lt;Allocation!$D$8,0,Allocation!$C$8*MIN($A34/Allocation!$E$8,1)))</f>
      </c>
      <c r="G34" s="2">
        <f>IF(Allocation!$E$9=0,Allocation!$C$9,IF($A34&lt;Allocation!$D$9,0,Allocation!$C$9*MIN($A34/Allocation!$E$9,1)))</f>
      </c>
      <c r="H34" s="2">
        <f>SUM(B34:G34)</f>
      </c>
    </row>
    <row r="35" spans="1:8" x14ac:dyDescent="0.25">
      <c r="A35">
        <v>32</v>
      </c>
      <c r="B35" s="2">
        <f>IF(Allocation!$E$4=0,Allocation!$C$4,IF($A35&lt;Allocation!$D$4,0,Allocation!$C$4*MIN($A35/Allocation!$E$4,1)))</f>
      </c>
      <c r="C35" s="2">
        <f>IF(Allocation!$E$5=0,Allocation!$C$5,IF($A35&lt;Allocation!$D$5,0,Allocation!$C$5*MIN($A35/Allocation!$E$5,1)))</f>
      </c>
      <c r="D35" s="2">
        <f>IF(Allocation!$E$6=0,Allocation!$C$6,IF($A35&lt;Allocation!$D$6,0,Allocation!$C$6*MIN($A35/Allocation!$E$6,1)))</f>
      </c>
      <c r="E35" s="2">
        <f>IF(Allocation!$E$7=0,Allocation!$C$7,IF($A35&lt;Allocation!$D$7,0,Allocation!$C$7*MIN($A35/Allocation!$E$7,1)))</f>
      </c>
      <c r="F35" s="2">
        <f>IF(Allocation!$E$8=0,Allocation!$C$8,IF($A35&lt;Allocation!$D$8,0,Allocation!$C$8*MIN($A35/Allocation!$E$8,1)))</f>
      </c>
      <c r="G35" s="2">
        <f>IF(Allocation!$E$9=0,Allocation!$C$9,IF($A35&lt;Allocation!$D$9,0,Allocation!$C$9*MIN($A35/Allocation!$E$9,1)))</f>
      </c>
      <c r="H35" s="2">
        <f>SUM(B35:G35)</f>
      </c>
    </row>
    <row r="36" spans="1:8" x14ac:dyDescent="0.25">
      <c r="A36">
        <v>33</v>
      </c>
      <c r="B36" s="2">
        <f>IF(Allocation!$E$4=0,Allocation!$C$4,IF($A36&lt;Allocation!$D$4,0,Allocation!$C$4*MIN($A36/Allocation!$E$4,1)))</f>
      </c>
      <c r="C36" s="2">
        <f>IF(Allocation!$E$5=0,Allocation!$C$5,IF($A36&lt;Allocation!$D$5,0,Allocation!$C$5*MIN($A36/Allocation!$E$5,1)))</f>
      </c>
      <c r="D36" s="2">
        <f>IF(Allocation!$E$6=0,Allocation!$C$6,IF($A36&lt;Allocation!$D$6,0,Allocation!$C$6*MIN($A36/Allocation!$E$6,1)))</f>
      </c>
      <c r="E36" s="2">
        <f>IF(Allocation!$E$7=0,Allocation!$C$7,IF($A36&lt;Allocation!$D$7,0,Allocation!$C$7*MIN($A36/Allocation!$E$7,1)))</f>
      </c>
      <c r="F36" s="2">
        <f>IF(Allocation!$E$8=0,Allocation!$C$8,IF($A36&lt;Allocation!$D$8,0,Allocation!$C$8*MIN($A36/Allocation!$E$8,1)))</f>
      </c>
      <c r="G36" s="2">
        <f>IF(Allocation!$E$9=0,Allocation!$C$9,IF($A36&lt;Allocation!$D$9,0,Allocation!$C$9*MIN($A36/Allocation!$E$9,1)))</f>
      </c>
      <c r="H36" s="2">
        <f>SUM(B36:G36)</f>
      </c>
    </row>
    <row r="37" spans="1:8" x14ac:dyDescent="0.25">
      <c r="A37">
        <v>34</v>
      </c>
      <c r="B37" s="2">
        <f>IF(Allocation!$E$4=0,Allocation!$C$4,IF($A37&lt;Allocation!$D$4,0,Allocation!$C$4*MIN($A37/Allocation!$E$4,1)))</f>
      </c>
      <c r="C37" s="2">
        <f>IF(Allocation!$E$5=0,Allocation!$C$5,IF($A37&lt;Allocation!$D$5,0,Allocation!$C$5*MIN($A37/Allocation!$E$5,1)))</f>
      </c>
      <c r="D37" s="2">
        <f>IF(Allocation!$E$6=0,Allocation!$C$6,IF($A37&lt;Allocation!$D$6,0,Allocation!$C$6*MIN($A37/Allocation!$E$6,1)))</f>
      </c>
      <c r="E37" s="2">
        <f>IF(Allocation!$E$7=0,Allocation!$C$7,IF($A37&lt;Allocation!$D$7,0,Allocation!$C$7*MIN($A37/Allocation!$E$7,1)))</f>
      </c>
      <c r="F37" s="2">
        <f>IF(Allocation!$E$8=0,Allocation!$C$8,IF($A37&lt;Allocation!$D$8,0,Allocation!$C$8*MIN($A37/Allocation!$E$8,1)))</f>
      </c>
      <c r="G37" s="2">
        <f>IF(Allocation!$E$9=0,Allocation!$C$9,IF($A37&lt;Allocation!$D$9,0,Allocation!$C$9*MIN($A37/Allocation!$E$9,1)))</f>
      </c>
      <c r="H37" s="2">
        <f>SUM(B37:G37)</f>
      </c>
    </row>
    <row r="38" spans="1:8" x14ac:dyDescent="0.25">
      <c r="A38">
        <v>35</v>
      </c>
      <c r="B38" s="2">
        <f>IF(Allocation!$E$4=0,Allocation!$C$4,IF($A38&lt;Allocation!$D$4,0,Allocation!$C$4*MIN($A38/Allocation!$E$4,1)))</f>
      </c>
      <c r="C38" s="2">
        <f>IF(Allocation!$E$5=0,Allocation!$C$5,IF($A38&lt;Allocation!$D$5,0,Allocation!$C$5*MIN($A38/Allocation!$E$5,1)))</f>
      </c>
      <c r="D38" s="2">
        <f>IF(Allocation!$E$6=0,Allocation!$C$6,IF($A38&lt;Allocation!$D$6,0,Allocation!$C$6*MIN($A38/Allocation!$E$6,1)))</f>
      </c>
      <c r="E38" s="2">
        <f>IF(Allocation!$E$7=0,Allocation!$C$7,IF($A38&lt;Allocation!$D$7,0,Allocation!$C$7*MIN($A38/Allocation!$E$7,1)))</f>
      </c>
      <c r="F38" s="2">
        <f>IF(Allocation!$E$8=0,Allocation!$C$8,IF($A38&lt;Allocation!$D$8,0,Allocation!$C$8*MIN($A38/Allocation!$E$8,1)))</f>
      </c>
      <c r="G38" s="2">
        <f>IF(Allocation!$E$9=0,Allocation!$C$9,IF($A38&lt;Allocation!$D$9,0,Allocation!$C$9*MIN($A38/Allocation!$E$9,1)))</f>
      </c>
      <c r="H38" s="2">
        <f>SUM(B38:G38)</f>
      </c>
    </row>
    <row r="39" spans="1:8" x14ac:dyDescent="0.25">
      <c r="A39">
        <v>36</v>
      </c>
      <c r="B39" s="2">
        <f>IF(Allocation!$E$4=0,Allocation!$C$4,IF($A39&lt;Allocation!$D$4,0,Allocation!$C$4*MIN($A39/Allocation!$E$4,1)))</f>
      </c>
      <c r="C39" s="2">
        <f>IF(Allocation!$E$5=0,Allocation!$C$5,IF($A39&lt;Allocation!$D$5,0,Allocation!$C$5*MIN($A39/Allocation!$E$5,1)))</f>
      </c>
      <c r="D39" s="2">
        <f>IF(Allocation!$E$6=0,Allocation!$C$6,IF($A39&lt;Allocation!$D$6,0,Allocation!$C$6*MIN($A39/Allocation!$E$6,1)))</f>
      </c>
      <c r="E39" s="2">
        <f>IF(Allocation!$E$7=0,Allocation!$C$7,IF($A39&lt;Allocation!$D$7,0,Allocation!$C$7*MIN($A39/Allocation!$E$7,1)))</f>
      </c>
      <c r="F39" s="2">
        <f>IF(Allocation!$E$8=0,Allocation!$C$8,IF($A39&lt;Allocation!$D$8,0,Allocation!$C$8*MIN($A39/Allocation!$E$8,1)))</f>
      </c>
      <c r="G39" s="2">
        <f>IF(Allocation!$E$9=0,Allocation!$C$9,IF($A39&lt;Allocation!$D$9,0,Allocation!$C$9*MIN($A39/Allocation!$E$9,1)))</f>
      </c>
      <c r="H39" s="2">
        <f>SUM(B39:G39)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8" customWidth="1"/>
    <col min="2" max="2" width="18" customWidth="1"/>
    <col min="3" max="4" width="16" customWidth="1"/>
  </cols>
  <sheetData>
    <row r="1" spans="1:1" x14ac:dyDescent="0.25">
      <c r="A1" t="s">
        <v>17</v>
      </c>
    </row>
    <row r="2" spans="1:4" x14ac:dyDescent="0.25">
      <c r="A2" s="3" t="s">
        <v>15</v>
      </c>
      <c r="B2" s="3" t="s">
        <v>18</v>
      </c>
      <c r="C2" s="3" t="s">
        <v>19</v>
      </c>
      <c r="D2" s="3" t="s">
        <v>20</v>
      </c>
    </row>
    <row r="3" spans="1:4" x14ac:dyDescent="0.25">
      <c r="A3">
        <v>0</v>
      </c>
      <c r="B3" s="2">
        <f>Vesting!H3</f>
      </c>
      <c r="C3" s="7">
        <f>B3/Allocation!$B$1</f>
      </c>
      <c r="D3" s="2">
        <f>B3</f>
      </c>
    </row>
    <row r="4" spans="1:4" x14ac:dyDescent="0.25">
      <c r="A4">
        <v>1</v>
      </c>
      <c r="B4" s="2">
        <f>Vesting!H4</f>
      </c>
      <c r="C4" s="7">
        <f>B4/Allocation!$B$1</f>
      </c>
      <c r="D4" s="2">
        <f>B4-B3</f>
      </c>
    </row>
    <row r="5" spans="1:4" x14ac:dyDescent="0.25">
      <c r="A5">
        <v>2</v>
      </c>
      <c r="B5" s="2">
        <f>Vesting!H5</f>
      </c>
      <c r="C5" s="7">
        <f>B5/Allocation!$B$1</f>
      </c>
      <c r="D5" s="2">
        <f>B5-B4</f>
      </c>
    </row>
    <row r="6" spans="1:4" x14ac:dyDescent="0.25">
      <c r="A6">
        <v>3</v>
      </c>
      <c r="B6" s="2">
        <f>Vesting!H6</f>
      </c>
      <c r="C6" s="7">
        <f>B6/Allocation!$B$1</f>
      </c>
      <c r="D6" s="2">
        <f>B6-B5</f>
      </c>
    </row>
    <row r="7" spans="1:4" x14ac:dyDescent="0.25">
      <c r="A7">
        <v>4</v>
      </c>
      <c r="B7" s="2">
        <f>Vesting!H7</f>
      </c>
      <c r="C7" s="7">
        <f>B7/Allocation!$B$1</f>
      </c>
      <c r="D7" s="2">
        <f>B7-B6</f>
      </c>
    </row>
    <row r="8" spans="1:4" x14ac:dyDescent="0.25">
      <c r="A8">
        <v>5</v>
      </c>
      <c r="B8" s="2">
        <f>Vesting!H8</f>
      </c>
      <c r="C8" s="7">
        <f>B8/Allocation!$B$1</f>
      </c>
      <c r="D8" s="2">
        <f>B8-B7</f>
      </c>
    </row>
    <row r="9" spans="1:4" x14ac:dyDescent="0.25">
      <c r="A9">
        <v>6</v>
      </c>
      <c r="B9" s="2">
        <f>Vesting!H9</f>
      </c>
      <c r="C9" s="7">
        <f>B9/Allocation!$B$1</f>
      </c>
      <c r="D9" s="2">
        <f>B9-B8</f>
      </c>
    </row>
    <row r="10" spans="1:4" x14ac:dyDescent="0.25">
      <c r="A10">
        <v>7</v>
      </c>
      <c r="B10" s="2">
        <f>Vesting!H10</f>
      </c>
      <c r="C10" s="7">
        <f>B10/Allocation!$B$1</f>
      </c>
      <c r="D10" s="2">
        <f>B10-B9</f>
      </c>
    </row>
    <row r="11" spans="1:4" x14ac:dyDescent="0.25">
      <c r="A11">
        <v>8</v>
      </c>
      <c r="B11" s="2">
        <f>Vesting!H11</f>
      </c>
      <c r="C11" s="7">
        <f>B11/Allocation!$B$1</f>
      </c>
      <c r="D11" s="2">
        <f>B11-B10</f>
      </c>
    </row>
    <row r="12" spans="1:4" x14ac:dyDescent="0.25">
      <c r="A12">
        <v>9</v>
      </c>
      <c r="B12" s="2">
        <f>Vesting!H12</f>
      </c>
      <c r="C12" s="7">
        <f>B12/Allocation!$B$1</f>
      </c>
      <c r="D12" s="2">
        <f>B12-B11</f>
      </c>
    </row>
    <row r="13" spans="1:4" x14ac:dyDescent="0.25">
      <c r="A13">
        <v>10</v>
      </c>
      <c r="B13" s="2">
        <f>Vesting!H13</f>
      </c>
      <c r="C13" s="7">
        <f>B13/Allocation!$B$1</f>
      </c>
      <c r="D13" s="2">
        <f>B13-B12</f>
      </c>
    </row>
    <row r="14" spans="1:4" x14ac:dyDescent="0.25">
      <c r="A14">
        <v>11</v>
      </c>
      <c r="B14" s="2">
        <f>Vesting!H14</f>
      </c>
      <c r="C14" s="7">
        <f>B14/Allocation!$B$1</f>
      </c>
      <c r="D14" s="2">
        <f>B14-B13</f>
      </c>
    </row>
    <row r="15" spans="1:4" x14ac:dyDescent="0.25">
      <c r="A15">
        <v>12</v>
      </c>
      <c r="B15" s="2">
        <f>Vesting!H15</f>
      </c>
      <c r="C15" s="7">
        <f>B15/Allocation!$B$1</f>
      </c>
      <c r="D15" s="2">
        <f>B15-B14</f>
      </c>
    </row>
    <row r="16" spans="1:4" x14ac:dyDescent="0.25">
      <c r="A16">
        <v>13</v>
      </c>
      <c r="B16" s="2">
        <f>Vesting!H16</f>
      </c>
      <c r="C16" s="7">
        <f>B16/Allocation!$B$1</f>
      </c>
      <c r="D16" s="2">
        <f>B16-B15</f>
      </c>
    </row>
    <row r="17" spans="1:4" x14ac:dyDescent="0.25">
      <c r="A17">
        <v>14</v>
      </c>
      <c r="B17" s="2">
        <f>Vesting!H17</f>
      </c>
      <c r="C17" s="7">
        <f>B17/Allocation!$B$1</f>
      </c>
      <c r="D17" s="2">
        <f>B17-B16</f>
      </c>
    </row>
    <row r="18" spans="1:4" x14ac:dyDescent="0.25">
      <c r="A18">
        <v>15</v>
      </c>
      <c r="B18" s="2">
        <f>Vesting!H18</f>
      </c>
      <c r="C18" s="7">
        <f>B18/Allocation!$B$1</f>
      </c>
      <c r="D18" s="2">
        <f>B18-B17</f>
      </c>
    </row>
    <row r="19" spans="1:4" x14ac:dyDescent="0.25">
      <c r="A19">
        <v>16</v>
      </c>
      <c r="B19" s="2">
        <f>Vesting!H19</f>
      </c>
      <c r="C19" s="7">
        <f>B19/Allocation!$B$1</f>
      </c>
      <c r="D19" s="2">
        <f>B19-B18</f>
      </c>
    </row>
    <row r="20" spans="1:4" x14ac:dyDescent="0.25">
      <c r="A20">
        <v>17</v>
      </c>
      <c r="B20" s="2">
        <f>Vesting!H20</f>
      </c>
      <c r="C20" s="7">
        <f>B20/Allocation!$B$1</f>
      </c>
      <c r="D20" s="2">
        <f>B20-B19</f>
      </c>
    </row>
    <row r="21" spans="1:4" x14ac:dyDescent="0.25">
      <c r="A21">
        <v>18</v>
      </c>
      <c r="B21" s="2">
        <f>Vesting!H21</f>
      </c>
      <c r="C21" s="7">
        <f>B21/Allocation!$B$1</f>
      </c>
      <c r="D21" s="2">
        <f>B21-B20</f>
      </c>
    </row>
    <row r="22" spans="1:4" x14ac:dyDescent="0.25">
      <c r="A22">
        <v>19</v>
      </c>
      <c r="B22" s="2">
        <f>Vesting!H22</f>
      </c>
      <c r="C22" s="7">
        <f>B22/Allocation!$B$1</f>
      </c>
      <c r="D22" s="2">
        <f>B22-B21</f>
      </c>
    </row>
    <row r="23" spans="1:4" x14ac:dyDescent="0.25">
      <c r="A23">
        <v>20</v>
      </c>
      <c r="B23" s="2">
        <f>Vesting!H23</f>
      </c>
      <c r="C23" s="7">
        <f>B23/Allocation!$B$1</f>
      </c>
      <c r="D23" s="2">
        <f>B23-B22</f>
      </c>
    </row>
    <row r="24" spans="1:4" x14ac:dyDescent="0.25">
      <c r="A24">
        <v>21</v>
      </c>
      <c r="B24" s="2">
        <f>Vesting!H24</f>
      </c>
      <c r="C24" s="7">
        <f>B24/Allocation!$B$1</f>
      </c>
      <c r="D24" s="2">
        <f>B24-B23</f>
      </c>
    </row>
    <row r="25" spans="1:4" x14ac:dyDescent="0.25">
      <c r="A25">
        <v>22</v>
      </c>
      <c r="B25" s="2">
        <f>Vesting!H25</f>
      </c>
      <c r="C25" s="7">
        <f>B25/Allocation!$B$1</f>
      </c>
      <c r="D25" s="2">
        <f>B25-B24</f>
      </c>
    </row>
    <row r="26" spans="1:4" x14ac:dyDescent="0.25">
      <c r="A26">
        <v>23</v>
      </c>
      <c r="B26" s="2">
        <f>Vesting!H26</f>
      </c>
      <c r="C26" s="7">
        <f>B26/Allocation!$B$1</f>
      </c>
      <c r="D26" s="2">
        <f>B26-B25</f>
      </c>
    </row>
    <row r="27" spans="1:4" x14ac:dyDescent="0.25">
      <c r="A27">
        <v>24</v>
      </c>
      <c r="B27" s="2">
        <f>Vesting!H27</f>
      </c>
      <c r="C27" s="7">
        <f>B27/Allocation!$B$1</f>
      </c>
      <c r="D27" s="2">
        <f>B27-B26</f>
      </c>
    </row>
    <row r="28" spans="1:4" x14ac:dyDescent="0.25">
      <c r="A28">
        <v>25</v>
      </c>
      <c r="B28" s="2">
        <f>Vesting!H28</f>
      </c>
      <c r="C28" s="7">
        <f>B28/Allocation!$B$1</f>
      </c>
      <c r="D28" s="2">
        <f>B28-B27</f>
      </c>
    </row>
    <row r="29" spans="1:4" x14ac:dyDescent="0.25">
      <c r="A29">
        <v>26</v>
      </c>
      <c r="B29" s="2">
        <f>Vesting!H29</f>
      </c>
      <c r="C29" s="7">
        <f>B29/Allocation!$B$1</f>
      </c>
      <c r="D29" s="2">
        <f>B29-B28</f>
      </c>
    </row>
    <row r="30" spans="1:4" x14ac:dyDescent="0.25">
      <c r="A30">
        <v>27</v>
      </c>
      <c r="B30" s="2">
        <f>Vesting!H30</f>
      </c>
      <c r="C30" s="7">
        <f>B30/Allocation!$B$1</f>
      </c>
      <c r="D30" s="2">
        <f>B30-B29</f>
      </c>
    </row>
    <row r="31" spans="1:4" x14ac:dyDescent="0.25">
      <c r="A31">
        <v>28</v>
      </c>
      <c r="B31" s="2">
        <f>Vesting!H31</f>
      </c>
      <c r="C31" s="7">
        <f>B31/Allocation!$B$1</f>
      </c>
      <c r="D31" s="2">
        <f>B31-B30</f>
      </c>
    </row>
    <row r="32" spans="1:4" x14ac:dyDescent="0.25">
      <c r="A32">
        <v>29</v>
      </c>
      <c r="B32" s="2">
        <f>Vesting!H32</f>
      </c>
      <c r="C32" s="7">
        <f>B32/Allocation!$B$1</f>
      </c>
      <c r="D32" s="2">
        <f>B32-B31</f>
      </c>
    </row>
    <row r="33" spans="1:4" x14ac:dyDescent="0.25">
      <c r="A33">
        <v>30</v>
      </c>
      <c r="B33" s="2">
        <f>Vesting!H33</f>
      </c>
      <c r="C33" s="7">
        <f>B33/Allocation!$B$1</f>
      </c>
      <c r="D33" s="2">
        <f>B33-B32</f>
      </c>
    </row>
    <row r="34" spans="1:4" x14ac:dyDescent="0.25">
      <c r="A34">
        <v>31</v>
      </c>
      <c r="B34" s="2">
        <f>Vesting!H34</f>
      </c>
      <c r="C34" s="7">
        <f>B34/Allocation!$B$1</f>
      </c>
      <c r="D34" s="2">
        <f>B34-B33</f>
      </c>
    </row>
    <row r="35" spans="1:4" x14ac:dyDescent="0.25">
      <c r="A35">
        <v>32</v>
      </c>
      <c r="B35" s="2">
        <f>Vesting!H35</f>
      </c>
      <c r="C35" s="7">
        <f>B35/Allocation!$B$1</f>
      </c>
      <c r="D35" s="2">
        <f>B35-B34</f>
      </c>
    </row>
    <row r="36" spans="1:4" x14ac:dyDescent="0.25">
      <c r="A36">
        <v>33</v>
      </c>
      <c r="B36" s="2">
        <f>Vesting!H36</f>
      </c>
      <c r="C36" s="7">
        <f>B36/Allocation!$B$1</f>
      </c>
      <c r="D36" s="2">
        <f>B36-B35</f>
      </c>
    </row>
    <row r="37" spans="1:4" x14ac:dyDescent="0.25">
      <c r="A37">
        <v>34</v>
      </c>
      <c r="B37" s="2">
        <f>Vesting!H37</f>
      </c>
      <c r="C37" s="7">
        <f>B37/Allocation!$B$1</f>
      </c>
      <c r="D37" s="2">
        <f>B37-B36</f>
      </c>
    </row>
    <row r="38" spans="1:4" x14ac:dyDescent="0.25">
      <c r="A38">
        <v>35</v>
      </c>
      <c r="B38" s="2">
        <f>Vesting!H38</f>
      </c>
      <c r="C38" s="7">
        <f>B38/Allocation!$B$1</f>
      </c>
      <c r="D38" s="2">
        <f>B38-B37</f>
      </c>
    </row>
    <row r="39" spans="1:4" x14ac:dyDescent="0.25">
      <c r="A39">
        <v>36</v>
      </c>
      <c r="B39" s="2">
        <f>Vesting!H39</f>
      </c>
      <c r="C39" s="7">
        <f>B39/Allocation!$B$1</f>
      </c>
      <c r="D39" s="2">
        <f>B39-B38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cols>
    <col min="1" max="1" width="8" customWidth="1"/>
    <col min="2" max="10" width="17" customWidth="1"/>
  </cols>
  <sheetData>
    <row r="1" spans="1:1" x14ac:dyDescent="0.25">
      <c r="A1" s="1" t="s">
        <v>21</v>
      </c>
    </row>
    <row r="2" spans="1:4" x14ac:dyDescent="0.25">
      <c r="A2" t="s">
        <v>22</v>
      </c>
      <c r="B2">
        <v>100</v>
      </c>
      <c r="D2" t="s">
        <v>23</v>
      </c>
    </row>
    <row r="3" spans="1:2" x14ac:dyDescent="0.25">
      <c r="A3" t="s">
        <v>24</v>
      </c>
      <c r="B3" s="4">
        <v>0.25</v>
      </c>
    </row>
    <row r="4" spans="1:2" x14ac:dyDescent="0.25">
      <c r="A4" t="s">
        <v>25</v>
      </c>
      <c r="B4">
        <v>500</v>
      </c>
    </row>
    <row r="5" spans="1:2" x14ac:dyDescent="0.25">
      <c r="A5" t="s">
        <v>26</v>
      </c>
      <c r="B5" s="2">
        <v>16667</v>
      </c>
    </row>
    <row r="6" spans="1:2" x14ac:dyDescent="0.25">
      <c r="A6" t="s">
        <v>27</v>
      </c>
      <c r="B6" s="8">
        <v>0.1</v>
      </c>
    </row>
    <row r="7" spans="1:2" x14ac:dyDescent="0.25">
      <c r="A7" t="s">
        <v>28</v>
      </c>
      <c r="B7" s="4">
        <v>0.05</v>
      </c>
    </row>
    <row r="9" spans="1:10" x14ac:dyDescent="0.25">
      <c r="A9" s="3" t="s">
        <v>15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20</v>
      </c>
      <c r="H9" s="3" t="s">
        <v>34</v>
      </c>
      <c r="I9" s="3" t="s">
        <v>35</v>
      </c>
      <c r="J9" s="3" t="s">
        <v>36</v>
      </c>
    </row>
    <row r="10" spans="1:10" x14ac:dyDescent="0.25">
      <c r="A10">
        <v>1</v>
      </c>
      <c r="B10" s="2">
        <f>$B$2</f>
      </c>
      <c r="C10" s="2">
        <f>$B$4</f>
      </c>
      <c r="D10" s="2">
        <f>B10*C10</f>
      </c>
      <c r="E10" s="2">
        <f>D10</f>
      </c>
      <c r="F10" s="2">
        <f>$B$5/$B$6</f>
      </c>
      <c r="G10" s="2">
        <f>Circulating!D4</f>
      </c>
      <c r="H10" s="2">
        <f>Allocation!$B$1*$B$7/12</f>
      </c>
      <c r="I10" s="2">
        <f>(F10+E10)-(G10+H10)</f>
      </c>
      <c r="J10">
        <f>IF(F10+E10&gt;=G10+H10,"INFLECTION","-")</f>
      </c>
    </row>
    <row r="11" spans="1:10" x14ac:dyDescent="0.25">
      <c r="A11">
        <v>2</v>
      </c>
      <c r="B11" s="2">
        <f>ROUND(B10*(1+$B$3),0)</f>
      </c>
      <c r="C11" s="2">
        <f>$B$4</f>
      </c>
      <c r="D11" s="2">
        <f>B11*C11</f>
      </c>
      <c r="E11" s="2">
        <f>D11-D10</f>
      </c>
      <c r="F11" s="2">
        <f>$B$5/$B$6</f>
      </c>
      <c r="G11" s="2">
        <f>Circulating!D5</f>
      </c>
      <c r="H11" s="2">
        <f>Allocation!$B$1*$B$7/12</f>
      </c>
      <c r="I11" s="2">
        <f>(F11+E11)-(G11+H11)</f>
      </c>
      <c r="J11">
        <f>IF(F11+E11&gt;=G11+H11,"INFLECTION","-")</f>
      </c>
    </row>
    <row r="12" spans="1:10" x14ac:dyDescent="0.25">
      <c r="A12">
        <v>3</v>
      </c>
      <c r="B12" s="2">
        <f>ROUND(B11*(1+$B$3),0)</f>
      </c>
      <c r="C12" s="2">
        <f>$B$4</f>
      </c>
      <c r="D12" s="2">
        <f>B12*C12</f>
      </c>
      <c r="E12" s="2">
        <f>D12-D11</f>
      </c>
      <c r="F12" s="2">
        <f>$B$5/$B$6</f>
      </c>
      <c r="G12" s="2">
        <f>Circulating!D6</f>
      </c>
      <c r="H12" s="2">
        <f>Allocation!$B$1*$B$7/12</f>
      </c>
      <c r="I12" s="2">
        <f>(F12+E12)-(G12+H12)</f>
      </c>
      <c r="J12">
        <f>IF(F12+E12&gt;=G12+H12,"INFLECTION","-")</f>
      </c>
    </row>
    <row r="13" spans="1:10" x14ac:dyDescent="0.25">
      <c r="A13">
        <v>4</v>
      </c>
      <c r="B13" s="2">
        <f>ROUND(B12*(1+$B$3),0)</f>
      </c>
      <c r="C13" s="2">
        <f>$B$4</f>
      </c>
      <c r="D13" s="2">
        <f>B13*C13</f>
      </c>
      <c r="E13" s="2">
        <f>D13-D12</f>
      </c>
      <c r="F13" s="2">
        <f>$B$5/$B$6</f>
      </c>
      <c r="G13" s="2">
        <f>Circulating!D7</f>
      </c>
      <c r="H13" s="2">
        <f>Allocation!$B$1*$B$7/12</f>
      </c>
      <c r="I13" s="2">
        <f>(F13+E13)-(G13+H13)</f>
      </c>
      <c r="J13">
        <f>IF(F13+E13&gt;=G13+H13,"INFLECTION","-")</f>
      </c>
    </row>
    <row r="14" spans="1:10" x14ac:dyDescent="0.25">
      <c r="A14">
        <v>5</v>
      </c>
      <c r="B14" s="2">
        <f>ROUND(B13*(1+$B$3),0)</f>
      </c>
      <c r="C14" s="2">
        <f>$B$4</f>
      </c>
      <c r="D14" s="2">
        <f>B14*C14</f>
      </c>
      <c r="E14" s="2">
        <f>D14-D13</f>
      </c>
      <c r="F14" s="2">
        <f>$B$5/$B$6</f>
      </c>
      <c r="G14" s="2">
        <f>Circulating!D8</f>
      </c>
      <c r="H14" s="2">
        <f>Allocation!$B$1*$B$7/12</f>
      </c>
      <c r="I14" s="2">
        <f>(F14+E14)-(G14+H14)</f>
      </c>
      <c r="J14">
        <f>IF(F14+E14&gt;=G14+H14,"INFLECTION","-")</f>
      </c>
    </row>
    <row r="15" spans="1:10" x14ac:dyDescent="0.25">
      <c r="A15">
        <v>6</v>
      </c>
      <c r="B15" s="2">
        <f>ROUND(B14*(1+$B$3),0)</f>
      </c>
      <c r="C15" s="2">
        <f>$B$4</f>
      </c>
      <c r="D15" s="2">
        <f>B15*C15</f>
      </c>
      <c r="E15" s="2">
        <f>D15-D14</f>
      </c>
      <c r="F15" s="2">
        <f>$B$5/$B$6</f>
      </c>
      <c r="G15" s="2">
        <f>Circulating!D9</f>
      </c>
      <c r="H15" s="2">
        <f>Allocation!$B$1*$B$7/12</f>
      </c>
      <c r="I15" s="2">
        <f>(F15+E15)-(G15+H15)</f>
      </c>
      <c r="J15">
        <f>IF(F15+E15&gt;=G15+H15,"INFLECTION","-")</f>
      </c>
    </row>
    <row r="16" spans="1:10" x14ac:dyDescent="0.25">
      <c r="A16">
        <v>7</v>
      </c>
      <c r="B16" s="2">
        <f>ROUND(B15*(1+$B$3),0)</f>
      </c>
      <c r="C16" s="2">
        <f>$B$4</f>
      </c>
      <c r="D16" s="2">
        <f>B16*C16</f>
      </c>
      <c r="E16" s="2">
        <f>D16-D15</f>
      </c>
      <c r="F16" s="2">
        <f>$B$5/$B$6</f>
      </c>
      <c r="G16" s="2">
        <f>Circulating!D10</f>
      </c>
      <c r="H16" s="2">
        <f>Allocation!$B$1*$B$7/12</f>
      </c>
      <c r="I16" s="2">
        <f>(F16+E16)-(G16+H16)</f>
      </c>
      <c r="J16">
        <f>IF(F16+E16&gt;=G16+H16,"INFLECTION","-")</f>
      </c>
    </row>
    <row r="17" spans="1:10" x14ac:dyDescent="0.25">
      <c r="A17">
        <v>8</v>
      </c>
      <c r="B17" s="2">
        <f>ROUND(B16*(1+$B$3),0)</f>
      </c>
      <c r="C17" s="2">
        <f>$B$4</f>
      </c>
      <c r="D17" s="2">
        <f>B17*C17</f>
      </c>
      <c r="E17" s="2">
        <f>D17-D16</f>
      </c>
      <c r="F17" s="2">
        <f>$B$5/$B$6</f>
      </c>
      <c r="G17" s="2">
        <f>Circulating!D11</f>
      </c>
      <c r="H17" s="2">
        <f>Allocation!$B$1*$B$7/12</f>
      </c>
      <c r="I17" s="2">
        <f>(F17+E17)-(G17+H17)</f>
      </c>
      <c r="J17">
        <f>IF(F17+E17&gt;=G17+H17,"INFLECTION","-")</f>
      </c>
    </row>
    <row r="18" spans="1:10" x14ac:dyDescent="0.25">
      <c r="A18">
        <v>9</v>
      </c>
      <c r="B18" s="2">
        <f>ROUND(B17*(1+$B$3),0)</f>
      </c>
      <c r="C18" s="2">
        <f>$B$4</f>
      </c>
      <c r="D18" s="2">
        <f>B18*C18</f>
      </c>
      <c r="E18" s="2">
        <f>D18-D17</f>
      </c>
      <c r="F18" s="2">
        <f>$B$5/$B$6</f>
      </c>
      <c r="G18" s="2">
        <f>Circulating!D12</f>
      </c>
      <c r="H18" s="2">
        <f>Allocation!$B$1*$B$7/12</f>
      </c>
      <c r="I18" s="2">
        <f>(F18+E18)-(G18+H18)</f>
      </c>
      <c r="J18">
        <f>IF(F18+E18&gt;=G18+H18,"INFLECTION","-")</f>
      </c>
    </row>
    <row r="19" spans="1:10" x14ac:dyDescent="0.25">
      <c r="A19">
        <v>10</v>
      </c>
      <c r="B19" s="2">
        <f>ROUND(B18*(1+$B$3),0)</f>
      </c>
      <c r="C19" s="2">
        <f>$B$4</f>
      </c>
      <c r="D19" s="2">
        <f>B19*C19</f>
      </c>
      <c r="E19" s="2">
        <f>D19-D18</f>
      </c>
      <c r="F19" s="2">
        <f>$B$5/$B$6</f>
      </c>
      <c r="G19" s="2">
        <f>Circulating!D13</f>
      </c>
      <c r="H19" s="2">
        <f>Allocation!$B$1*$B$7/12</f>
      </c>
      <c r="I19" s="2">
        <f>(F19+E19)-(G19+H19)</f>
      </c>
      <c r="J19">
        <f>IF(F19+E19&gt;=G19+H19,"INFLECTION","-")</f>
      </c>
    </row>
    <row r="20" spans="1:10" x14ac:dyDescent="0.25">
      <c r="A20">
        <v>11</v>
      </c>
      <c r="B20" s="2">
        <f>ROUND(B19*(1+$B$3),0)</f>
      </c>
      <c r="C20" s="2">
        <f>$B$4</f>
      </c>
      <c r="D20" s="2">
        <f>B20*C20</f>
      </c>
      <c r="E20" s="2">
        <f>D20-D19</f>
      </c>
      <c r="F20" s="2">
        <f>$B$5/$B$6</f>
      </c>
      <c r="G20" s="2">
        <f>Circulating!D14</f>
      </c>
      <c r="H20" s="2">
        <f>Allocation!$B$1*$B$7/12</f>
      </c>
      <c r="I20" s="2">
        <f>(F20+E20)-(G20+H20)</f>
      </c>
      <c r="J20">
        <f>IF(F20+E20&gt;=G20+H20,"INFLECTION","-")</f>
      </c>
    </row>
    <row r="21" spans="1:10" x14ac:dyDescent="0.25">
      <c r="A21">
        <v>12</v>
      </c>
      <c r="B21" s="2">
        <f>ROUND(B20*(1+$B$3),0)</f>
      </c>
      <c r="C21" s="2">
        <f>$B$4</f>
      </c>
      <c r="D21" s="2">
        <f>B21*C21</f>
      </c>
      <c r="E21" s="2">
        <f>D21-D20</f>
      </c>
      <c r="F21" s="2">
        <f>$B$5/$B$6</f>
      </c>
      <c r="G21" s="2">
        <f>Circulating!D15</f>
      </c>
      <c r="H21" s="2">
        <f>Allocation!$B$1*$B$7/12</f>
      </c>
      <c r="I21" s="2">
        <f>(F21+E21)-(G21+H21)</f>
      </c>
      <c r="J21">
        <f>IF(F21+E21&gt;=G21+H21,"INFLECTION","-")</f>
      </c>
    </row>
    <row r="22" spans="1:10" x14ac:dyDescent="0.25">
      <c r="A22">
        <v>13</v>
      </c>
      <c r="B22" s="2">
        <f>ROUND(B21*(1+$B$3),0)</f>
      </c>
      <c r="C22" s="2">
        <f>$B$4</f>
      </c>
      <c r="D22" s="2">
        <f>B22*C22</f>
      </c>
      <c r="E22" s="2">
        <f>D22-D21</f>
      </c>
      <c r="F22" s="2">
        <f>$B$5/$B$6</f>
      </c>
      <c r="G22" s="2">
        <f>Circulating!D16</f>
      </c>
      <c r="H22" s="2">
        <f>Allocation!$B$1*$B$7/12</f>
      </c>
      <c r="I22" s="2">
        <f>(F22+E22)-(G22+H22)</f>
      </c>
      <c r="J22">
        <f>IF(F22+E22&gt;=G22+H22,"INFLECTION","-")</f>
      </c>
    </row>
    <row r="23" spans="1:10" x14ac:dyDescent="0.25">
      <c r="A23">
        <v>14</v>
      </c>
      <c r="B23" s="2">
        <f>ROUND(B22*(1+$B$3),0)</f>
      </c>
      <c r="C23" s="2">
        <f>$B$4</f>
      </c>
      <c r="D23" s="2">
        <f>B23*C23</f>
      </c>
      <c r="E23" s="2">
        <f>D23-D22</f>
      </c>
      <c r="F23" s="2">
        <f>$B$5/$B$6</f>
      </c>
      <c r="G23" s="2">
        <f>Circulating!D17</f>
      </c>
      <c r="H23" s="2">
        <f>Allocation!$B$1*$B$7/12</f>
      </c>
      <c r="I23" s="2">
        <f>(F23+E23)-(G23+H23)</f>
      </c>
      <c r="J23">
        <f>IF(F23+E23&gt;=G23+H23,"INFLECTION","-")</f>
      </c>
    </row>
    <row r="24" spans="1:10" x14ac:dyDescent="0.25">
      <c r="A24">
        <v>15</v>
      </c>
      <c r="B24" s="2">
        <f>ROUND(B23*(1+$B$3),0)</f>
      </c>
      <c r="C24" s="2">
        <f>$B$4</f>
      </c>
      <c r="D24" s="2">
        <f>B24*C24</f>
      </c>
      <c r="E24" s="2">
        <f>D24-D23</f>
      </c>
      <c r="F24" s="2">
        <f>$B$5/$B$6</f>
      </c>
      <c r="G24" s="2">
        <f>Circulating!D18</f>
      </c>
      <c r="H24" s="2">
        <f>Allocation!$B$1*$B$7/12</f>
      </c>
      <c r="I24" s="2">
        <f>(F24+E24)-(G24+H24)</f>
      </c>
      <c r="J24">
        <f>IF(F24+E24&gt;=G24+H24,"INFLECTION","-")</f>
      </c>
    </row>
    <row r="25" spans="1:10" x14ac:dyDescent="0.25">
      <c r="A25">
        <v>16</v>
      </c>
      <c r="B25" s="2">
        <f>ROUND(B24*(1+$B$3),0)</f>
      </c>
      <c r="C25" s="2">
        <f>$B$4</f>
      </c>
      <c r="D25" s="2">
        <f>B25*C25</f>
      </c>
      <c r="E25" s="2">
        <f>D25-D24</f>
      </c>
      <c r="F25" s="2">
        <f>$B$5/$B$6</f>
      </c>
      <c r="G25" s="2">
        <f>Circulating!D19</f>
      </c>
      <c r="H25" s="2">
        <f>Allocation!$B$1*$B$7/12</f>
      </c>
      <c r="I25" s="2">
        <f>(F25+E25)-(G25+H25)</f>
      </c>
      <c r="J25">
        <f>IF(F25+E25&gt;=G25+H25,"INFLECTION","-")</f>
      </c>
    </row>
    <row r="26" spans="1:10" x14ac:dyDescent="0.25">
      <c r="A26">
        <v>17</v>
      </c>
      <c r="B26" s="2">
        <f>ROUND(B25*(1+$B$3),0)</f>
      </c>
      <c r="C26" s="2">
        <f>$B$4</f>
      </c>
      <c r="D26" s="2">
        <f>B26*C26</f>
      </c>
      <c r="E26" s="2">
        <f>D26-D25</f>
      </c>
      <c r="F26" s="2">
        <f>$B$5/$B$6</f>
      </c>
      <c r="G26" s="2">
        <f>Circulating!D20</f>
      </c>
      <c r="H26" s="2">
        <f>Allocation!$B$1*$B$7/12</f>
      </c>
      <c r="I26" s="2">
        <f>(F26+E26)-(G26+H26)</f>
      </c>
      <c r="J26">
        <f>IF(F26+E26&gt;=G26+H26,"INFLECTION","-")</f>
      </c>
    </row>
    <row r="27" spans="1:10" x14ac:dyDescent="0.25">
      <c r="A27">
        <v>18</v>
      </c>
      <c r="B27" s="2">
        <f>ROUND(B26*(1+$B$3),0)</f>
      </c>
      <c r="C27" s="2">
        <f>$B$4</f>
      </c>
      <c r="D27" s="2">
        <f>B27*C27</f>
      </c>
      <c r="E27" s="2">
        <f>D27-D26</f>
      </c>
      <c r="F27" s="2">
        <f>$B$5/$B$6</f>
      </c>
      <c r="G27" s="2">
        <f>Circulating!D21</f>
      </c>
      <c r="H27" s="2">
        <f>Allocation!$B$1*$B$7/12</f>
      </c>
      <c r="I27" s="2">
        <f>(F27+E27)-(G27+H27)</f>
      </c>
      <c r="J27">
        <f>IF(F27+E27&gt;=G27+H27,"INFLECTION","-")</f>
      </c>
    </row>
    <row r="28" spans="1:10" x14ac:dyDescent="0.25">
      <c r="A28">
        <v>19</v>
      </c>
      <c r="B28" s="2">
        <f>ROUND(B27*(1+$B$3),0)</f>
      </c>
      <c r="C28" s="2">
        <f>$B$4</f>
      </c>
      <c r="D28" s="2">
        <f>B28*C28</f>
      </c>
      <c r="E28" s="2">
        <f>D28-D27</f>
      </c>
      <c r="F28" s="2">
        <f>$B$5/$B$6</f>
      </c>
      <c r="G28" s="2">
        <f>Circulating!D22</f>
      </c>
      <c r="H28" s="2">
        <f>Allocation!$B$1*$B$7/12</f>
      </c>
      <c r="I28" s="2">
        <f>(F28+E28)-(G28+H28)</f>
      </c>
      <c r="J28">
        <f>IF(F28+E28&gt;=G28+H28,"INFLECTION","-")</f>
      </c>
    </row>
    <row r="29" spans="1:10" x14ac:dyDescent="0.25">
      <c r="A29">
        <v>20</v>
      </c>
      <c r="B29" s="2">
        <f>ROUND(B28*(1+$B$3),0)</f>
      </c>
      <c r="C29" s="2">
        <f>$B$4</f>
      </c>
      <c r="D29" s="2">
        <f>B29*C29</f>
      </c>
      <c r="E29" s="2">
        <f>D29-D28</f>
      </c>
      <c r="F29" s="2">
        <f>$B$5/$B$6</f>
      </c>
      <c r="G29" s="2">
        <f>Circulating!D23</f>
      </c>
      <c r="H29" s="2">
        <f>Allocation!$B$1*$B$7/12</f>
      </c>
      <c r="I29" s="2">
        <f>(F29+E29)-(G29+H29)</f>
      </c>
      <c r="J29">
        <f>IF(F29+E29&gt;=G29+H29,"INFLECTION","-")</f>
      </c>
    </row>
    <row r="30" spans="1:10" x14ac:dyDescent="0.25">
      <c r="A30">
        <v>21</v>
      </c>
      <c r="B30" s="2">
        <f>ROUND(B29*(1+$B$3),0)</f>
      </c>
      <c r="C30" s="2">
        <f>$B$4</f>
      </c>
      <c r="D30" s="2">
        <f>B30*C30</f>
      </c>
      <c r="E30" s="2">
        <f>D30-D29</f>
      </c>
      <c r="F30" s="2">
        <f>$B$5/$B$6</f>
      </c>
      <c r="G30" s="2">
        <f>Circulating!D24</f>
      </c>
      <c r="H30" s="2">
        <f>Allocation!$B$1*$B$7/12</f>
      </c>
      <c r="I30" s="2">
        <f>(F30+E30)-(G30+H30)</f>
      </c>
      <c r="J30">
        <f>IF(F30+E30&gt;=G30+H30,"INFLECTION","-")</f>
      </c>
    </row>
    <row r="31" spans="1:10" x14ac:dyDescent="0.25">
      <c r="A31">
        <v>22</v>
      </c>
      <c r="B31" s="2">
        <f>ROUND(B30*(1+$B$3),0)</f>
      </c>
      <c r="C31" s="2">
        <f>$B$4</f>
      </c>
      <c r="D31" s="2">
        <f>B31*C31</f>
      </c>
      <c r="E31" s="2">
        <f>D31-D30</f>
      </c>
      <c r="F31" s="2">
        <f>$B$5/$B$6</f>
      </c>
      <c r="G31" s="2">
        <f>Circulating!D25</f>
      </c>
      <c r="H31" s="2">
        <f>Allocation!$B$1*$B$7/12</f>
      </c>
      <c r="I31" s="2">
        <f>(F31+E31)-(G31+H31)</f>
      </c>
      <c r="J31">
        <f>IF(F31+E31&gt;=G31+H31,"INFLECTION","-")</f>
      </c>
    </row>
    <row r="32" spans="1:10" x14ac:dyDescent="0.25">
      <c r="A32">
        <v>23</v>
      </c>
      <c r="B32" s="2">
        <f>ROUND(B31*(1+$B$3),0)</f>
      </c>
      <c r="C32" s="2">
        <f>$B$4</f>
      </c>
      <c r="D32" s="2">
        <f>B32*C32</f>
      </c>
      <c r="E32" s="2">
        <f>D32-D31</f>
      </c>
      <c r="F32" s="2">
        <f>$B$5/$B$6</f>
      </c>
      <c r="G32" s="2">
        <f>Circulating!D26</f>
      </c>
      <c r="H32" s="2">
        <f>Allocation!$B$1*$B$7/12</f>
      </c>
      <c r="I32" s="2">
        <f>(F32+E32)-(G32+H32)</f>
      </c>
      <c r="J32">
        <f>IF(F32+E32&gt;=G32+H32,"INFLECTION","-")</f>
      </c>
    </row>
    <row r="33" spans="1:10" x14ac:dyDescent="0.25">
      <c r="A33">
        <v>24</v>
      </c>
      <c r="B33" s="2">
        <f>ROUND(B32*(1+$B$3),0)</f>
      </c>
      <c r="C33" s="2">
        <f>$B$4</f>
      </c>
      <c r="D33" s="2">
        <f>B33*C33</f>
      </c>
      <c r="E33" s="2">
        <f>D33-D32</f>
      </c>
      <c r="F33" s="2">
        <f>$B$5/$B$6</f>
      </c>
      <c r="G33" s="2">
        <f>Circulating!D27</f>
      </c>
      <c r="H33" s="2">
        <f>Allocation!$B$1*$B$7/12</f>
      </c>
      <c r="I33" s="2">
        <f>(F33+E33)-(G33+H33)</f>
      </c>
      <c r="J33">
        <f>IF(F33+E33&gt;=G33+H33,"INFLECTION","-")</f>
      </c>
    </row>
    <row r="34" spans="1:10" x14ac:dyDescent="0.25">
      <c r="A34">
        <v>25</v>
      </c>
      <c r="B34" s="2">
        <f>ROUND(B33*(1+$B$3),0)</f>
      </c>
      <c r="C34" s="2">
        <f>$B$4</f>
      </c>
      <c r="D34" s="2">
        <f>B34*C34</f>
      </c>
      <c r="E34" s="2">
        <f>D34-D33</f>
      </c>
      <c r="F34" s="2">
        <f>$B$5/$B$6</f>
      </c>
      <c r="G34" s="2">
        <f>Circulating!D28</f>
      </c>
      <c r="H34" s="2">
        <f>Allocation!$B$1*$B$7/12</f>
      </c>
      <c r="I34" s="2">
        <f>(F34+E34)-(G34+H34)</f>
      </c>
      <c r="J34">
        <f>IF(F34+E34&gt;=G34+H34,"INFLECTION","-")</f>
      </c>
    </row>
    <row r="35" spans="1:10" x14ac:dyDescent="0.25">
      <c r="A35">
        <v>26</v>
      </c>
      <c r="B35" s="2">
        <f>ROUND(B34*(1+$B$3),0)</f>
      </c>
      <c r="C35" s="2">
        <f>$B$4</f>
      </c>
      <c r="D35" s="2">
        <f>B35*C35</f>
      </c>
      <c r="E35" s="2">
        <f>D35-D34</f>
      </c>
      <c r="F35" s="2">
        <f>$B$5/$B$6</f>
      </c>
      <c r="G35" s="2">
        <f>Circulating!D29</f>
      </c>
      <c r="H35" s="2">
        <f>Allocation!$B$1*$B$7/12</f>
      </c>
      <c r="I35" s="2">
        <f>(F35+E35)-(G35+H35)</f>
      </c>
      <c r="J35">
        <f>IF(F35+E35&gt;=G35+H35,"INFLECTION","-")</f>
      </c>
    </row>
    <row r="36" spans="1:10" x14ac:dyDescent="0.25">
      <c r="A36">
        <v>27</v>
      </c>
      <c r="B36" s="2">
        <f>ROUND(B35*(1+$B$3),0)</f>
      </c>
      <c r="C36" s="2">
        <f>$B$4</f>
      </c>
      <c r="D36" s="2">
        <f>B36*C36</f>
      </c>
      <c r="E36" s="2">
        <f>D36-D35</f>
      </c>
      <c r="F36" s="2">
        <f>$B$5/$B$6</f>
      </c>
      <c r="G36" s="2">
        <f>Circulating!D30</f>
      </c>
      <c r="H36" s="2">
        <f>Allocation!$B$1*$B$7/12</f>
      </c>
      <c r="I36" s="2">
        <f>(F36+E36)-(G36+H36)</f>
      </c>
      <c r="J36">
        <f>IF(F36+E36&gt;=G36+H36,"INFLECTION","-")</f>
      </c>
    </row>
    <row r="37" spans="1:10" x14ac:dyDescent="0.25">
      <c r="A37">
        <v>28</v>
      </c>
      <c r="B37" s="2">
        <f>ROUND(B36*(1+$B$3),0)</f>
      </c>
      <c r="C37" s="2">
        <f>$B$4</f>
      </c>
      <c r="D37" s="2">
        <f>B37*C37</f>
      </c>
      <c r="E37" s="2">
        <f>D37-D36</f>
      </c>
      <c r="F37" s="2">
        <f>$B$5/$B$6</f>
      </c>
      <c r="G37" s="2">
        <f>Circulating!D31</f>
      </c>
      <c r="H37" s="2">
        <f>Allocation!$B$1*$B$7/12</f>
      </c>
      <c r="I37" s="2">
        <f>(F37+E37)-(G37+H37)</f>
      </c>
      <c r="J37">
        <f>IF(F37+E37&gt;=G37+H37,"INFLECTION","-")</f>
      </c>
    </row>
    <row r="38" spans="1:10" x14ac:dyDescent="0.25">
      <c r="A38">
        <v>29</v>
      </c>
      <c r="B38" s="2">
        <f>ROUND(B37*(1+$B$3),0)</f>
      </c>
      <c r="C38" s="2">
        <f>$B$4</f>
      </c>
      <c r="D38" s="2">
        <f>B38*C38</f>
      </c>
      <c r="E38" s="2">
        <f>D38-D37</f>
      </c>
      <c r="F38" s="2">
        <f>$B$5/$B$6</f>
      </c>
      <c r="G38" s="2">
        <f>Circulating!D32</f>
      </c>
      <c r="H38" s="2">
        <f>Allocation!$B$1*$B$7/12</f>
      </c>
      <c r="I38" s="2">
        <f>(F38+E38)-(G38+H38)</f>
      </c>
      <c r="J38">
        <f>IF(F38+E38&gt;=G38+H38,"INFLECTION","-")</f>
      </c>
    </row>
    <row r="39" spans="1:10" x14ac:dyDescent="0.25">
      <c r="A39">
        <v>30</v>
      </c>
      <c r="B39" s="2">
        <f>ROUND(B38*(1+$B$3),0)</f>
      </c>
      <c r="C39" s="2">
        <f>$B$4</f>
      </c>
      <c r="D39" s="2">
        <f>B39*C39</f>
      </c>
      <c r="E39" s="2">
        <f>D39-D38</f>
      </c>
      <c r="F39" s="2">
        <f>$B$5/$B$6</f>
      </c>
      <c r="G39" s="2">
        <f>Circulating!D33</f>
      </c>
      <c r="H39" s="2">
        <f>Allocation!$B$1*$B$7/12</f>
      </c>
      <c r="I39" s="2">
        <f>(F39+E39)-(G39+H39)</f>
      </c>
      <c r="J39">
        <f>IF(F39+E39&gt;=G39+H39,"INFLECTION","-")</f>
      </c>
    </row>
    <row r="40" spans="1:10" x14ac:dyDescent="0.25">
      <c r="A40">
        <v>31</v>
      </c>
      <c r="B40" s="2">
        <f>ROUND(B39*(1+$B$3),0)</f>
      </c>
      <c r="C40" s="2">
        <f>$B$4</f>
      </c>
      <c r="D40" s="2">
        <f>B40*C40</f>
      </c>
      <c r="E40" s="2">
        <f>D40-D39</f>
      </c>
      <c r="F40" s="2">
        <f>$B$5/$B$6</f>
      </c>
      <c r="G40" s="2">
        <f>Circulating!D34</f>
      </c>
      <c r="H40" s="2">
        <f>Allocation!$B$1*$B$7/12</f>
      </c>
      <c r="I40" s="2">
        <f>(F40+E40)-(G40+H40)</f>
      </c>
      <c r="J40">
        <f>IF(F40+E40&gt;=G40+H40,"INFLECTION","-")</f>
      </c>
    </row>
    <row r="41" spans="1:10" x14ac:dyDescent="0.25">
      <c r="A41">
        <v>32</v>
      </c>
      <c r="B41" s="2">
        <f>ROUND(B40*(1+$B$3),0)</f>
      </c>
      <c r="C41" s="2">
        <f>$B$4</f>
      </c>
      <c r="D41" s="2">
        <f>B41*C41</f>
      </c>
      <c r="E41" s="2">
        <f>D41-D40</f>
      </c>
      <c r="F41" s="2">
        <f>$B$5/$B$6</f>
      </c>
      <c r="G41" s="2">
        <f>Circulating!D35</f>
      </c>
      <c r="H41" s="2">
        <f>Allocation!$B$1*$B$7/12</f>
      </c>
      <c r="I41" s="2">
        <f>(F41+E41)-(G41+H41)</f>
      </c>
      <c r="J41">
        <f>IF(F41+E41&gt;=G41+H41,"INFLECTION","-")</f>
      </c>
    </row>
    <row r="42" spans="1:10" x14ac:dyDescent="0.25">
      <c r="A42">
        <v>33</v>
      </c>
      <c r="B42" s="2">
        <f>ROUND(B41*(1+$B$3),0)</f>
      </c>
      <c r="C42" s="2">
        <f>$B$4</f>
      </c>
      <c r="D42" s="2">
        <f>B42*C42</f>
      </c>
      <c r="E42" s="2">
        <f>D42-D41</f>
      </c>
      <c r="F42" s="2">
        <f>$B$5/$B$6</f>
      </c>
      <c r="G42" s="2">
        <f>Circulating!D36</f>
      </c>
      <c r="H42" s="2">
        <f>Allocation!$B$1*$B$7/12</f>
      </c>
      <c r="I42" s="2">
        <f>(F42+E42)-(G42+H42)</f>
      </c>
      <c r="J42">
        <f>IF(F42+E42&gt;=G42+H42,"INFLECTION","-")</f>
      </c>
    </row>
    <row r="43" spans="1:10" x14ac:dyDescent="0.25">
      <c r="A43">
        <v>34</v>
      </c>
      <c r="B43" s="2">
        <f>ROUND(B42*(1+$B$3),0)</f>
      </c>
      <c r="C43" s="2">
        <f>$B$4</f>
      </c>
      <c r="D43" s="2">
        <f>B43*C43</f>
      </c>
      <c r="E43" s="2">
        <f>D43-D42</f>
      </c>
      <c r="F43" s="2">
        <f>$B$5/$B$6</f>
      </c>
      <c r="G43" s="2">
        <f>Circulating!D37</f>
      </c>
      <c r="H43" s="2">
        <f>Allocation!$B$1*$B$7/12</f>
      </c>
      <c r="I43" s="2">
        <f>(F43+E43)-(G43+H43)</f>
      </c>
      <c r="J43">
        <f>IF(F43+E43&gt;=G43+H43,"INFLECTION","-")</f>
      </c>
    </row>
    <row r="44" spans="1:10" x14ac:dyDescent="0.25">
      <c r="A44">
        <v>35</v>
      </c>
      <c r="B44" s="2">
        <f>ROUND(B43*(1+$B$3),0)</f>
      </c>
      <c r="C44" s="2">
        <f>$B$4</f>
      </c>
      <c r="D44" s="2">
        <f>B44*C44</f>
      </c>
      <c r="E44" s="2">
        <f>D44-D43</f>
      </c>
      <c r="F44" s="2">
        <f>$B$5/$B$6</f>
      </c>
      <c r="G44" s="2">
        <f>Circulating!D38</f>
      </c>
      <c r="H44" s="2">
        <f>Allocation!$B$1*$B$7/12</f>
      </c>
      <c r="I44" s="2">
        <f>(F44+E44)-(G44+H44)</f>
      </c>
      <c r="J44">
        <f>IF(F44+E44&gt;=G44+H44,"INFLECTION","-")</f>
      </c>
    </row>
    <row r="45" spans="1:10" x14ac:dyDescent="0.25">
      <c r="A45">
        <v>36</v>
      </c>
      <c r="B45" s="2">
        <f>ROUND(B44*(1+$B$3),0)</f>
      </c>
      <c r="C45" s="2">
        <f>$B$4</f>
      </c>
      <c r="D45" s="2">
        <f>B45*C45</f>
      </c>
      <c r="E45" s="2">
        <f>D45-D44</f>
      </c>
      <c r="F45" s="2">
        <f>$B$5/$B$6</f>
      </c>
      <c r="G45" s="2">
        <f>Circulating!D39</f>
      </c>
      <c r="H45" s="2">
        <f>Allocation!$B$1*$B$7/12</f>
      </c>
      <c r="I45" s="2">
        <f>(F45+E45)-(G45+H45)</f>
      </c>
      <c r="J45">
        <f>IF(F45+E45&gt;=G45+H45,"INFLECTION","-")</f>
      </c>
    </row>
    <row r="47" spans="1:1" x14ac:dyDescent="0.25">
      <c r="A4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Allocation</vt:lpstr>
      <vt:lpstr>Vesting</vt:lpstr>
      <vt:lpstr>Circulating</vt:lpstr>
      <vt:lpstr>Demand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TokenSystems.io</dc:creator>
  <dc:title/>
  <dc:subject/>
  <dc:description/>
  <cp:keywords/>
  <cp:category/>
  <cp:lastModifiedBy>Unknown</cp:lastModifiedBy>
  <dcterms:created xsi:type="dcterms:W3CDTF">2026-08-31T03:12:43Z</dcterms:created>
  <dcterms:modified xsi:type="dcterms:W3CDTF">2026-08-31T03:12:43Z</dcterms:modified>
</cp:coreProperties>
</file>